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Récapitulatif" sheetId="1" state="visible" r:id="rId3"/>
    <sheet name="MIARO" sheetId="2" state="visible" r:id="rId4"/>
    <sheet name="DAVIDA" sheetId="3" state="visible" r:id="rId5"/>
    <sheet name="FANILO" sheetId="4" state="visible" r:id="rId6"/>
    <sheet name="NOMENA" sheetId="5" state="visible" r:id="rId7"/>
    <sheet name="TSANTA" sheetId="6" state="visible" r:id="rId8"/>
    <sheet name="MICKAELLA" sheetId="7" state="visible" r:id="rId9"/>
    <sheet name="MANOA" sheetId="8" state="visible" r:id="rId10"/>
    <sheet name="NOAH" sheetId="9" state="visible" r:id="rId11"/>
    <sheet name="MANDRESY" sheetId="10" state="visible" r:id="rId12"/>
    <sheet name="Transversal &amp; Jury" sheetId="11" state="visible" r:id="rId13"/>
    <sheet name="Sheet12" sheetId="12" state="visible" r:id="rId14"/>
    <sheet name="Sheet13" sheetId="13" state="visible" r:id="rId15"/>
  </sheets>
  <definedNames>
    <definedName function="false" hidden="false" name="SUM" vbProcedure="false">MANDRESY!$F$17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<sst xmlns="http://schemas.openxmlformats.org/spreadsheetml/2006/main" count="1089" uniqueCount="439">
  <si>
    <t xml:space="preserve">MADAPORC — Suivi des tâches &amp; fonctions par membre</t>
  </si>
  <si>
    <t xml:space="preserve">Légende :</t>
  </si>
  <si>
    <t xml:space="preserve">Terminé</t>
  </si>
  <si>
    <t xml:space="preserve">En cours</t>
  </si>
  <si>
    <t xml:space="preserve">Pas fini</t>
  </si>
  <si>
    <t xml:space="preserve">Membre</t>
  </si>
  <si>
    <t xml:space="preserve">Binôme</t>
  </si>
  <si>
    <t xml:space="preserve">Rôle / Module(s)</t>
  </si>
  <si>
    <t xml:space="preserve">Fonctions OK</t>
  </si>
  <si>
    <t xml:space="preserve">Avanc.</t>
  </si>
  <si>
    <t xml:space="preserve">Durée totale (h)</t>
  </si>
  <si>
    <t xml:space="preserve">Heures faites (h)</t>
  </si>
  <si>
    <t xml:space="preserve">Heures restantes (h)</t>
  </si>
  <si>
    <t xml:space="preserve">MIARO — RAJAONSON Ny Andry Miaro</t>
  </si>
  <si>
    <t xml:space="preserve">Binôme 1 (avec Davida)</t>
  </si>
  <si>
    <t xml:space="preserve">Socle technique &amp; intégration (fichiers communs)  +  (suite) Dépenses</t>
  </si>
  <si>
    <t xml:space="preserve">DAVIDA — Davida Fiderana</t>
  </si>
  <si>
    <t xml:space="preserve">Binôme 1 (avec Miaro)</t>
  </si>
  <si>
    <t xml:space="preserve">Authentification &amp; utilisateurs  +  (suite) Clients</t>
  </si>
  <si>
    <t xml:space="preserve">FANILO — Fanilo Tsito</t>
  </si>
  <si>
    <t xml:space="preserve">Binôme 2 (avec Nomena)</t>
  </si>
  <si>
    <t xml:space="preserve">Lots de porcs + mouvements d'effectif  +  (suite) Ventes</t>
  </si>
  <si>
    <t xml:space="preserve">NOMENA — Andriantsiferana Sarobidy</t>
  </si>
  <si>
    <t xml:space="preserve">Binôme 2 (avec Fanilo)</t>
  </si>
  <si>
    <t xml:space="preserve">Pesées des lots + Santé (pas de part dans la suite)</t>
  </si>
  <si>
    <t xml:space="preserve">TSANTA — Tsanta Finaritra (Noahmathieu)</t>
  </si>
  <si>
    <t xml:space="preserve">Binôme 3 (avec Mickaella)</t>
  </si>
  <si>
    <t xml:space="preserve">Création &amp; suivi initial du groupe de reproduction  +  (suite) Import / Export</t>
  </si>
  <si>
    <t xml:space="preserve">MICKAELLA — Andriamarondraibe</t>
  </si>
  <si>
    <t xml:space="preserve">Binôme 3 (avec Tsanta)</t>
  </si>
  <si>
    <t xml:space="preserve">Détail groupe, confirmation mise bas &amp; lot naissance  +  (suite) Rapports financiers</t>
  </si>
  <si>
    <t xml:space="preserve">MANOA — Aina Manoa Rajoel</t>
  </si>
  <si>
    <t xml:space="preserve">Binôme 4 (avec Noah)</t>
  </si>
  <si>
    <t xml:space="preserve">Analyse reproductive &amp; formules métier  +  (suite) Mouvements de stock alimentaire</t>
  </si>
  <si>
    <t xml:space="preserve">NOAH — (noahtown011)</t>
  </si>
  <si>
    <t xml:space="preserve">Binôme 4 (avec Manoa)</t>
  </si>
  <si>
    <t xml:space="preserve">Dashboard + Alertes reproduction  +  (suite) Ingrédients</t>
  </si>
  <si>
    <t xml:space="preserve">MANDRESY — Mandresy Ally</t>
  </si>
  <si>
    <t xml:space="preserve">Renfort santé / transversal</t>
  </si>
  <si>
    <t xml:space="preserve">(suite) Catégories de dépenses + modèles finance  +  renfort module Santé</t>
  </si>
  <si>
    <t xml:space="preserve">Barème dynamique : « Heures faites » = Terminé + ½ En cours ; « Heures restantes » = Pas fini + ½ En cours. L’avancement est calculé sur la durée estimée, pas seulement sur le nombre de fonctions.</t>
  </si>
  <si>
    <t xml:space="preserve">Binôme 1 (avec Davida)   ·   Branche(s) : dev---Miaro, dev-Miaro-Davida</t>
  </si>
  <si>
    <t xml:space="preserve">N°</t>
  </si>
  <si>
    <t xml:space="preserve">Partie</t>
  </si>
  <si>
    <t xml:space="preserve">Couche</t>
  </si>
  <si>
    <t xml:space="preserve">Fichier</t>
  </si>
  <si>
    <t xml:space="preserve">Fonction / Route (signature)</t>
  </si>
  <si>
    <t xml:space="preserve">Durée (min)</t>
  </si>
  <si>
    <t xml:space="preserve">Statut</t>
  </si>
  <si>
    <t xml:space="preserve">Remarque</t>
  </si>
  <si>
    <t xml:space="preserve">1ère part</t>
  </si>
  <si>
    <t xml:space="preserve">Projet</t>
  </si>
  <si>
    <t xml:space="preserve">pom.xml</t>
  </si>
  <si>
    <t xml:space="preserve">Configuration Maven + dépendances</t>
  </si>
  <si>
    <t xml:space="preserve">MadaporcApplication.java</t>
  </si>
  <si>
    <t xml:space="preserve">Classe principale Spring Boot</t>
  </si>
  <si>
    <t xml:space="preserve">Config</t>
  </si>
  <si>
    <t xml:space="preserve">application.properties</t>
  </si>
  <si>
    <t xml:space="preserve">Datasource PostgreSQL + vues JSP + encodage</t>
  </si>
  <si>
    <t xml:space="preserve">Common</t>
  </si>
  <si>
    <t xml:space="preserve">common/AppConstants.java</t>
  </si>
  <si>
    <t xml:space="preserve">Constantes globales</t>
  </si>
  <si>
    <t xml:space="preserve">BD</t>
  </si>
  <si>
    <t xml:space="preserve">resources/schema.sql</t>
  </si>
  <si>
    <t xml:space="preserve">Création des tables</t>
  </si>
  <si>
    <t xml:space="preserve">resources/data.sql</t>
  </si>
  <si>
    <t xml:space="preserve">Données de test</t>
  </si>
  <si>
    <t xml:space="preserve">CSS</t>
  </si>
  <si>
    <t xml:space="preserve">static/css/app.css</t>
  </si>
  <si>
    <t xml:space="preserve">Feuille de style</t>
  </si>
  <si>
    <t xml:space="preserve">Vue</t>
  </si>
  <si>
    <t xml:space="preserve">layout/header.jsp</t>
  </si>
  <si>
    <t xml:space="preserve">En-tête</t>
  </si>
  <si>
    <t xml:space="preserve">layout/sidebar.jsp</t>
  </si>
  <si>
    <t xml:space="preserve">Menu latéral</t>
  </si>
  <si>
    <t xml:space="preserve">layout/footer.jsp</t>
  </si>
  <si>
    <t xml:space="preserve">Pied de page</t>
  </si>
  <si>
    <t xml:space="preserve">login.jsp · placeholder.jsp</t>
  </si>
  <si>
    <t xml:space="preserve">Pages globales</t>
  </si>
  <si>
    <t xml:space="preserve">Suite</t>
  </si>
  <si>
    <t xml:space="preserve">Controller</t>
  </si>
  <si>
    <t xml:space="preserve">controller/DepenseController.java</t>
  </si>
  <si>
    <t xml:space="preserve">@GetMapping(/depenses) listDepenses(Model)</t>
  </si>
  <si>
    <t xml:space="preserve">@GetMapping(/depenses/form) showForm(id, Model)</t>
  </si>
  <si>
    <t xml:space="preserve">@PostMapping(/depenses/save) save(DepenseDTO, Model)</t>
  </si>
  <si>
    <t xml:space="preserve">Service</t>
  </si>
  <si>
    <t xml:space="preserve">service/StockService.java</t>
  </si>
  <si>
    <t xml:space="preserve">findAllDepenses()</t>
  </si>
  <si>
    <t xml:space="preserve">enregistrerDepense(DepenseDTO)</t>
  </si>
  <si>
    <t xml:space="preserve">Repository</t>
  </si>
  <si>
    <t xml:space="preserve">repository/DepenseRepository.java</t>
  </si>
  <si>
    <t xml:space="preserve">findAllByOrderByDateDepenseDesc / between / byCategorie / totalDepenses</t>
  </si>
  <si>
    <t xml:space="preserve">finance/depenses.jsp · finance/formDepense.jsp</t>
  </si>
  <si>
    <t xml:space="preserve">Liste + formulaire dépenses</t>
  </si>
  <si>
    <t xml:space="preserve">TOTAL (min)</t>
  </si>
  <si>
    <t xml:space="preserve">Dav</t>
  </si>
  <si>
    <t xml:space="preserve">Binôme 1 (avec Miaro)   ·   Branche(s) : dev_davida, dev-Miaro-Davida</t>
  </si>
  <si>
    <t xml:space="preserve">controller/AuthController.java</t>
  </si>
  <si>
    <t xml:space="preserve">@GetMapping(/login) showLogin(Model)</t>
  </si>
  <si>
    <t xml:space="preserve">@PostMapping(/login) login(LoginDTO, Model, HttpSession)</t>
  </si>
  <si>
    <t xml:space="preserve">@GetMapping(/logout) logout(HttpSession)</t>
  </si>
  <si>
    <t xml:space="preserve">controller/UtilisateurController.java</t>
  </si>
  <si>
    <t xml:space="preserve">@GetMapping(/utilisateurs) listUtilisateurs(Model)</t>
  </si>
  <si>
    <t xml:space="preserve">@GetMapping(/utilisateurs/form) showForm(id, Model)</t>
  </si>
  <si>
    <t xml:space="preserve">@PostMapping(/utilisateurs/save) save(UtilisateurDTO, Model)</t>
  </si>
  <si>
    <t xml:space="preserve">@PostMapping(/utilisateurs/desactiver/{id}) desactiver(id)</t>
  </si>
  <si>
    <t xml:space="preserve">service/AuthService.java</t>
  </si>
  <si>
    <t xml:space="preserve">connecter(LoginDTO, HttpSession)</t>
  </si>
  <si>
    <t xml:space="preserve">verifierMotDePasse(brut, hash)</t>
  </si>
  <si>
    <t xml:space="preserve">deconnecter(HttpSession)</t>
  </si>
  <si>
    <t xml:space="preserve">service/UtilisateurService.java</t>
  </si>
  <si>
    <t xml:space="preserve">findAll() · findById(id) · creer(dto) · modifier(id,dto) · desactiver(id) · emailExiste(email)</t>
  </si>
  <si>
    <t xml:space="preserve">repository/UtilisateurRepository.java</t>
  </si>
  <si>
    <t xml:space="preserve">findByEmail(email) · existsByEmail(email)</t>
  </si>
  <si>
    <t xml:space="preserve">Model/DTO</t>
  </si>
  <si>
    <t xml:space="preserve">model/Utilisateur.java · Role.java · dto/LoginDTO.java · UtilisateurDTO.java</t>
  </si>
  <si>
    <t xml:space="preserve">Entités + DTO</t>
  </si>
  <si>
    <t xml:space="preserve">login.jsp · utilisateurs/liste.jsp · utilisateurs/form.jsp</t>
  </si>
  <si>
    <t xml:space="preserve">Connexion + liste/form utilisateurs</t>
  </si>
  <si>
    <t xml:space="preserve">controller/ClientController.java</t>
  </si>
  <si>
    <t xml:space="preserve">@GetMapping(/clients) listClients(Model)</t>
  </si>
  <si>
    <t xml:space="preserve">@GetMapping(/clients/form) showClientForm(id, Model)</t>
  </si>
  <si>
    <t xml:space="preserve">@PostMapping(/clients/save) saveClient(ClientDTO, Model)</t>
  </si>
  <si>
    <t xml:space="preserve">@GetMapping(/clients/{id}) detailClient(id, Model)</t>
  </si>
  <si>
    <t xml:space="preserve">Petit probleme de lien mais déjà reglé</t>
  </si>
  <si>
    <t xml:space="preserve">service/ClientService.java</t>
  </si>
  <si>
    <t xml:space="preserve">findAll · findById · creer · modifier · getForm</t>
  </si>
  <si>
    <t xml:space="preserve">repository/ClientRepository.java</t>
  </si>
  <si>
    <t xml:space="preserve">findAllByOrderByNomAsc · existsByNomIgnoreCase</t>
  </si>
  <si>
    <t xml:space="preserve">Model</t>
  </si>
  <si>
    <t xml:space="preserve">model/Client.java</t>
  </si>
  <si>
    <t xml:space="preserve">Entité Client</t>
  </si>
  <si>
    <t xml:space="preserve">DTO</t>
  </si>
  <si>
    <t xml:space="preserve">dto/ClientDTO.java</t>
  </si>
  <si>
    <t xml:space="preserve">DTO Client</t>
  </si>
  <si>
    <t xml:space="preserve">commerce/clients.jsp · commerce/formClient.jsp</t>
  </si>
  <si>
    <t xml:space="preserve">Liste + formulaire clients</t>
  </si>
  <si>
    <t xml:space="preserve">y</t>
  </si>
  <si>
    <t xml:space="preserve">Binôme 2 (avec Nomena)   ·   Branche(s) : dev_fanilo, dev_fanilo_nomena</t>
  </si>
  <si>
    <t xml:space="preserve">controller/LotPorcController.java</t>
  </si>
  <si>
    <t xml:space="preserve">@GetMapping(/lots) listLots(LotFiltreDTO, Model)</t>
  </si>
  <si>
    <t xml:space="preserve">@GetMapping(/lots/form) showForm(id, Model)</t>
  </si>
  <si>
    <t xml:space="preserve">@PostMapping(/lots/save) save(LotPorcDTO, Model)</t>
  </si>
  <si>
    <t xml:space="preserve">@GetMapping(/lots/{id}) detail(id, Model)</t>
  </si>
  <si>
    <t xml:space="preserve">@PostMapping(/lots/archive/{id}) archiver(id)</t>
  </si>
  <si>
    <t xml:space="preserve">service/LotPorcService.java</t>
  </si>
  <si>
    <t xml:space="preserve">rechercherLots(filtre) · prepareFormModel · creerLot · modifierLot · getDetailLot · archiverLot · existeCodeLot · verifierLotActif</t>
  </si>
  <si>
    <t xml:space="preserve">repository/LotPorcRepository.java</t>
  </si>
  <si>
    <t xml:space="preserve">existsByCodeLot · findByCodeLotContainingIgnoreCase · findBySexe · findByObjectif · findByStatut · countByStatut</t>
  </si>
  <si>
    <t xml:space="preserve">model/LotPorc.java · Race.java · dto/LotPorcDTO.java · LotFiltreDTO.java · LotDetailDTO.java</t>
  </si>
  <si>
    <t xml:space="preserve">Entités + DTO lots</t>
  </si>
  <si>
    <t xml:space="preserve">lots/listeLots.jsp · formLot.jsp · detailLot.jsp</t>
  </si>
  <si>
    <t xml:space="preserve">Vues lots</t>
  </si>
  <si>
    <t xml:space="preserve">controller/MouvementLotController.java</t>
  </si>
  <si>
    <t xml:space="preserve">@GetMapping(/lots/{id}/mouvements) listMouvements(id, Model)</t>
  </si>
  <si>
    <t xml:space="preserve">@PostMapping(/lots/mouvements/save) saveMouvement(MouvementLotDTO, Model)</t>
  </si>
  <si>
    <t xml:space="preserve">service/MouvementLotService.java</t>
  </si>
  <si>
    <t xml:space="preserve">getMouvementsByLot · enregistrerMouvement · augmenterEffectif · diminuerEffectif · verifierQuantiteDisponible</t>
  </si>
  <si>
    <t xml:space="preserve">repository/MouvementLotPorcRepository.java</t>
  </si>
  <si>
    <t xml:space="preserve">findByLotIdOrderByDateMouvementDesc(lotId)</t>
  </si>
  <si>
    <t xml:space="preserve">Model/DTO/Vue</t>
  </si>
  <si>
    <t xml:space="preserve">model/MouvementLotPorc.java · dto/MouvementLotDTO.java · lots/mouvements.jsp</t>
  </si>
  <si>
    <t xml:space="preserve">Mouvements d'effectif</t>
  </si>
  <si>
    <t xml:space="preserve">controller/VenteController.java</t>
  </si>
  <si>
    <t xml:space="preserve">listVentes · showForm · save · valider(/ventes/valider/{id}) · annuler · genererRecuPdf</t>
  </si>
  <si>
    <t xml:space="preserve">FICHIER VIDE (0 ligne)</t>
  </si>
  <si>
    <t xml:space="preserve">service/VenteService.java</t>
  </si>
  <si>
    <t xml:space="preserve">findAll · creerVente · validerVente · annulerVente · calculerMontantTotal · genererRecuPdf</t>
  </si>
  <si>
    <t xml:space="preserve">repository/VenteRepository.java · DetailVenteRepository.java</t>
  </si>
  <si>
    <t xml:space="preserve">byDateVente · byStatut · byVenteId</t>
  </si>
  <si>
    <t xml:space="preserve">Présent (23 lignes)</t>
  </si>
  <si>
    <t xml:space="preserve">model/Vente.java · DetailVente.java</t>
  </si>
  <si>
    <t xml:space="preserve">Entités (statuts BROUILLON/VALIDEE/ANNULEE)</t>
  </si>
  <si>
    <t xml:space="preserve">Présent (48 lignes)</t>
  </si>
  <si>
    <t xml:space="preserve">dto/VenteDTO.java · DetailVenteDTO.java</t>
  </si>
  <si>
    <t xml:space="preserve">DTO ventes</t>
  </si>
  <si>
    <t xml:space="preserve">À vérifier</t>
  </si>
  <si>
    <t xml:space="preserve">commerce/ventes.jsp · formVente.jsp · detailVente.jsp</t>
  </si>
  <si>
    <t xml:space="preserve">Vues ventes</t>
  </si>
  <si>
    <t xml:space="preserve">Binôme 2 (avec Fanilo)   ·   Branche(s) : dev_Nomena, dev_fanilo_nomena</t>
  </si>
  <si>
    <t xml:space="preserve">controller/PeseeLotController.java</t>
  </si>
  <si>
    <t xml:space="preserve">@GetMapping(/lots/{id}/pesees) listPesees(id, Model)</t>
  </si>
  <si>
    <t xml:space="preserve">@PostMapping(/lots/pesees/save) savePesee(PeseeLotDTO, Model)</t>
  </si>
  <si>
    <t xml:space="preserve">service/PeseeLotService.java</t>
  </si>
  <si>
    <t xml:space="preserve">getPeseesByLot(lotId) · enregistrerPesee(dto) · calculerEvolutionPoids(lotId)</t>
  </si>
  <si>
    <t xml:space="preserve">repository/PeseeLotRepository.java</t>
  </si>
  <si>
    <t xml:space="preserve">findByLotIdOrderByDatePeseeAsc(lotId)</t>
  </si>
  <si>
    <t xml:space="preserve">model/PeseeLot.java · dto/PeseeLotDTO.java · lots/pesees.jsp</t>
  </si>
  <si>
    <t xml:space="preserve">Pesées</t>
  </si>
  <si>
    <t xml:space="preserve">controller/VaccinController.java</t>
  </si>
  <si>
    <t xml:space="preserve">/vaccins · /vaccins/form · /vaccins/save</t>
  </si>
  <si>
    <t xml:space="preserve">controller/VaccinationController.java</t>
  </si>
  <si>
    <t xml:space="preserve">/vaccinations · /vaccinations/form · /vaccinations/save</t>
  </si>
  <si>
    <t xml:space="preserve">controller/SuiviSanitaireController.java</t>
  </si>
  <si>
    <t xml:space="preserve">/sante/suivis · /sante/suivis/form · /sante/suivis/save</t>
  </si>
  <si>
    <t xml:space="preserve">service/VaccinService.java · VaccinationService.java · SuiviSanitaireService.java</t>
  </si>
  <si>
    <t xml:space="preserve">Logique métier vaccins / vaccinations / suivis</t>
  </si>
  <si>
    <t xml:space="preserve">Vaccin · Vaccination · Maladie · Traitement · SuiviSanitaire Repository</t>
  </si>
  <si>
    <t xml:space="preserve">Accès données santé</t>
  </si>
  <si>
    <t xml:space="preserve">Vaccin · Vaccination · Maladie · Traitement · SuiviSanitaire</t>
  </si>
  <si>
    <t xml:space="preserve">Entités santé</t>
  </si>
  <si>
    <t xml:space="preserve">VaccinDTO · VaccinationDTO · SuiviSanitaireDTO</t>
  </si>
  <si>
    <t xml:space="preserve">DTO santé</t>
  </si>
  <si>
    <t xml:space="preserve">sante/vaccins · formVaccin · vaccinations · formVaccination · suivis · formSuivi</t>
  </si>
  <si>
    <t xml:space="preserve">Vues santé</t>
  </si>
  <si>
    <t xml:space="preserve">Binôme 3 (avec Mickaella)   ·   Branche(s) : dev_Tsanta, dev_TsantaSuite</t>
  </si>
  <si>
    <t xml:space="preserve">controller/GroupeReproductionController.java</t>
  </si>
  <si>
    <t xml:space="preserve">@GetMapping(/reproduction/groupes) listGroupes(Model)</t>
  </si>
  <si>
    <t xml:space="preserve">@GetMapping(/reproduction/groupes/form) showForm(id, Model)</t>
  </si>
  <si>
    <t xml:space="preserve">@PostMapping(/reproduction/groupes/save) save(dto, Model, HttpSession)</t>
  </si>
  <si>
    <t xml:space="preserve">service/GroupeReproductionCreationService.java</t>
  </si>
  <si>
    <t xml:space="preserve">creer(dto, utilisateurId)</t>
  </si>
  <si>
    <t xml:space="preserve">modifier(id, dto)</t>
  </si>
  <si>
    <t xml:space="preserve">calculerDatePrevueMiseBas(dateSaillie, dureeGestation)</t>
  </si>
  <si>
    <t xml:space="preserve">verifierLotFemelle · verifierLotMale · verifierFemellesDisponibles</t>
  </si>
  <si>
    <t xml:space="preserve">mettreAJourRepartitionApresSaillie(lotId, nombreFemelles)</t>
  </si>
  <si>
    <t xml:space="preserve">service/GroupeReproductionQueryService.java</t>
  </si>
  <si>
    <t xml:space="preserve">findAll() · getDetailGroupe(id) · prepareFormModel(Model, id)</t>
  </si>
  <si>
    <t xml:space="preserve">repository/GroupeReproductionRepository.java</t>
  </si>
  <si>
    <t xml:space="preserve">findAllByOrderByDateSaillieDesc · findByLotFemelleId · countByStatutIn</t>
  </si>
  <si>
    <t xml:space="preserve">repository/ParametreReproductionRaceRepository.java</t>
  </si>
  <si>
    <t xml:space="preserve">findByRaceId(raceId)</t>
  </si>
  <si>
    <t xml:space="preserve">model/GroupeReproduction.java · ParametreReproductionRace.java · dto/GroupeReproductionDTO.java · GroupeReproductionDetailDTO.java · groupes/liste.jsp · form.jsp</t>
  </si>
  <si>
    <t xml:space="preserve">Entités + DTO + vues création</t>
  </si>
  <si>
    <t xml:space="preserve">controller/ImportExportController.java</t>
  </si>
  <si>
    <t xml:space="preserve">indexImports · showImportForm · importerExcel · exporterExcel · exporterPdf · historique</t>
  </si>
  <si>
    <t xml:space="preserve">service/ImportExportService.java</t>
  </si>
  <si>
    <t xml:space="preserve">importerLots/Clients/Vaccinations/Ingredients Excel · exporterLots/Ventes/Groupes/Analyse Excel · tracerImport · tracerExport · historique</t>
  </si>
  <si>
    <t xml:space="preserve">repository/ImportExportRepository.java</t>
  </si>
  <si>
    <t xml:space="preserve">byModule · byStatut · orderByDate</t>
  </si>
  <si>
    <t xml:space="preserve">model/ImportExport.java</t>
  </si>
  <si>
    <t xml:space="preserve">Entité (IMPORT/EXPORT, EXCEL/PDF, SUCCES/ECHEC)</t>
  </si>
  <si>
    <t xml:space="preserve">dto/ImportExcelDTO.java · RapportFiltreDTO.java</t>
  </si>
  <si>
    <t xml:space="preserve">DTO import</t>
  </si>
  <si>
    <t xml:space="preserve">imports/form.jsp · imports/historique.jsp</t>
  </si>
  <si>
    <t xml:space="preserve">Vues import + historique</t>
  </si>
  <si>
    <t xml:space="preserve">Binôme 3 (avec Tsanta)   ·   Branche(s) : feature-binome3</t>
  </si>
  <si>
    <t xml:space="preserve">@GetMapping(/reproduction/groupes/{id}) detail(id, Model)</t>
  </si>
  <si>
    <t xml:space="preserve">@GetMapping(/{id}/confirmer-mise-bas) afficherFormulaireMiseBas(id, Model)</t>
  </si>
  <si>
    <t xml:space="preserve">@PostMapping(/{id}/confirmer-mise-bas) confirmerMiseBas(id, dto, Model)</t>
  </si>
  <si>
    <t xml:space="preserve">@PostMapping(/{id}/cloturer) cloturer(id)</t>
  </si>
  <si>
    <t xml:space="preserve">Implémentée</t>
  </si>
  <si>
    <t xml:space="preserve">service/GroupeReproductionMiseBasService.java</t>
  </si>
  <si>
    <t xml:space="preserve">getDetailGroupe(groupeId)</t>
  </si>
  <si>
    <t xml:space="preserve">calculerJoursRestants(groupeId)</t>
  </si>
  <si>
    <t xml:space="preserve">calculerPourcentageEvolution(groupeId)</t>
  </si>
  <si>
    <t xml:space="preserve">confirmerMiseBas(groupeId, dto)</t>
  </si>
  <si>
    <t xml:space="preserve">validerDonneesMiseBas(dto)</t>
  </si>
  <si>
    <t xml:space="preserve">Présente</t>
  </si>
  <si>
    <t xml:space="preserve">mettreAJourGroupeApresMiseBas(groupeId, dto)</t>
  </si>
  <si>
    <t xml:space="preserve">mettreAJourRepartitionApresMiseBas(lotId, groupe)</t>
  </si>
  <si>
    <t xml:space="preserve">Via repartitionReproductiveService.mettreAJourApresMiseBas</t>
  </si>
  <si>
    <t xml:space="preserve">cloturer(groupeId)</t>
  </si>
  <si>
    <t xml:space="preserve">service/LotNaissanceService.java</t>
  </si>
  <si>
    <t xml:space="preserve">creerLotNaissanceApresMiseBas(groupeId, dto)</t>
  </si>
  <si>
    <t xml:space="preserve">Implémentée (création lot + lien lot mère/groupe)</t>
  </si>
  <si>
    <t xml:space="preserve">preparerLotNaissanceDepuisGroupe(groupeId)</t>
  </si>
  <si>
    <t xml:space="preserve">dto/ConfirmationMiseBasDTO.java · LotNaissanceDTO.java</t>
  </si>
  <si>
    <t xml:space="preserve">DTO mise bas + lot naissance</t>
  </si>
  <si>
    <t xml:space="preserve">reproduction/groupes/detail.jsp · confirmerMiseBas.jsp</t>
  </si>
  <si>
    <t xml:space="preserve">Détail groupe + barre évolution + confirmation</t>
  </si>
  <si>
    <t xml:space="preserve">controller/RapportController.java</t>
  </si>
  <si>
    <t xml:space="preserve">@GetMapping(/rapports) index(RapportFiltreDTO, Model)</t>
  </si>
  <si>
    <t xml:space="preserve">Implémenté (bilan financier filtré par dates)</t>
  </si>
  <si>
    <t xml:space="preserve">service/RapportService.java</t>
  </si>
  <si>
    <t xml:space="preserve">genererRapport · calculerTotalVentes (VALIDEE) · calculerTotalDepenses · calculerBeneficeNet · compterVentes · compterDepenses · validerFiltre</t>
  </si>
  <si>
    <t xml:space="preserve">Implémenté</t>
  </si>
  <si>
    <t xml:space="preserve">dto/RapportFiltreDTO.java</t>
  </si>
  <si>
    <t xml:space="preserve">Filtre dates rapport (dateDebut, dateFin)</t>
  </si>
  <si>
    <t xml:space="preserve">Complété</t>
  </si>
  <si>
    <t xml:space="preserve">dto/RapportFinancierDTO.java</t>
  </si>
  <si>
    <t xml:space="preserve">totalVentes · totalDepenses · beneficeNet · nbVentes · nbDepenses</t>
  </si>
  <si>
    <t xml:space="preserve">Créé</t>
  </si>
  <si>
    <t xml:space="preserve">rapports/index.jsp</t>
  </si>
  <si>
    <t xml:space="preserve">Bilan financier + filtre dates</t>
  </si>
  <si>
    <t xml:space="preserve">Bloc financier ajouté</t>
  </si>
  <si>
    <t xml:space="preserve">Binôme 4 (avec Noah)   ·   Branche(s) : dev-Manoa</t>
  </si>
  <si>
    <t xml:space="preserve">controller/AnalyseReproductionController.java</t>
  </si>
  <si>
    <t xml:space="preserve">@GetMapping(/reproduction/analyse/lots/{lotId}) analyseLot(lotId, Model)</t>
  </si>
  <si>
    <t xml:space="preserve">@PostMapping(/reproduction/analyse/generer/{lotId}) genererAnalyse(lotId, Model)</t>
  </si>
  <si>
    <t xml:space="preserve">service/AnalyseReproductionService.java</t>
  </si>
  <si>
    <t xml:space="preserve">analyserLot(lotId)</t>
  </si>
  <si>
    <t xml:space="preserve">calculerTauxAptitudeGlobal(dto) · calculerTauxRecommande(dto) · calculerTauxFertiliteObserve(dto)</t>
  </si>
  <si>
    <t xml:space="preserve">genererDecision(dto) · enregistrerAnalyse(dto)</t>
  </si>
  <si>
    <t xml:space="preserve">service/RepartitionReproductiveService.java</t>
  </si>
  <si>
    <t xml:space="preserve">initialiserRepartitionLotFemelle(lotId) · getRepartitionByLot(lotId)</t>
  </si>
  <si>
    <t xml:space="preserve">calculerFemellesDisponibles(lotId)</t>
  </si>
  <si>
    <t xml:space="preserve">Terminé (refactorisé) : logique dans initialiserRepartitionLotFemelle / getQuantite</t>
  </si>
  <si>
    <t xml:space="preserve">calculerFemellesEnCycle(lotId)</t>
  </si>
  <si>
    <t xml:space="preserve">Terminé (refactorisé) : getQuantite(lotId, "EN_CYCLE")</t>
  </si>
  <si>
    <t xml:space="preserve">mettreAJourRepartition(lotId, statut, quantite)</t>
  </si>
  <si>
    <t xml:space="preserve">repository/AnalyseReproductionLotRepository.java</t>
  </si>
  <si>
    <t xml:space="preserve">findByLotIdOrderByDateAnalyseDesc(lotId)</t>
  </si>
  <si>
    <t xml:space="preserve">repository/RepartitionReproductiveLotRepository.java</t>
  </si>
  <si>
    <t xml:space="preserve">findByLotId · findByLotIdAndStatutReproductif</t>
  </si>
  <si>
    <t xml:space="preserve">repository/StatutReproductifRepository.java</t>
  </si>
  <si>
    <t xml:space="preserve">findAll()</t>
  </si>
  <si>
    <t xml:space="preserve">model/AnalyseReproductionLot.java · RepartitionReproductiveLot.java · StatutReproductif.java · dto/AnalyseReproductionLotDTO.java · RepartitionReproductiveDTO.java · analyse/analyseLot.jsp</t>
  </si>
  <si>
    <t xml:space="preserve">Entités + DTO + vue analyse</t>
  </si>
  <si>
    <t xml:space="preserve">controller/MouvementStockController.java</t>
  </si>
  <si>
    <t xml:space="preserve">listMouvements · showForm · saveMouvement(ingredientId, typeMouvement, quantite, Model)</t>
  </si>
  <si>
    <t xml:space="preserve">Présent (46 lignes)</t>
  </si>
  <si>
    <t xml:space="preserve">service/MouvementStockService.java</t>
  </si>
  <si>
    <t xml:space="preserve">enregistrerMouvementStock · verifierStockDisponible</t>
  </si>
  <si>
    <t xml:space="preserve">Présent (101 lignes)</t>
  </si>
  <si>
    <t xml:space="preserve">appliquerEntree · appliquerSortie</t>
  </si>
  <si>
    <t xml:space="preserve">Présent : appliquerEntree (l.71) / appliquerSortie (l.80)</t>
  </si>
  <si>
    <t xml:space="preserve">repository/MouvementStockAlimentRepository.java</t>
  </si>
  <si>
    <t xml:space="preserve">orderByDate · byIngredient</t>
  </si>
  <si>
    <t xml:space="preserve">Renommé : MouvementStockRepository.findAllByOrderByIdDesc()</t>
  </si>
  <si>
    <t xml:space="preserve">model/MouvementStockAliment.java</t>
  </si>
  <si>
    <t xml:space="preserve">Entité (ENTREE/SORTIE/AJUSTEMENT)</t>
  </si>
  <si>
    <t xml:space="preserve">Renommé : model/MouvementStock.java (le fichier existe)</t>
  </si>
  <si>
    <t xml:space="preserve">DTO/Vue</t>
  </si>
  <si>
    <t xml:space="preserve">dto/MouvementStockDTO.java · stocks/mouvements.jsp · formMouvement.jsp</t>
  </si>
  <si>
    <t xml:space="preserve">DTO + vues mouvements stock</t>
  </si>
  <si>
    <t xml:space="preserve">Binôme 4 (avec Manoa)   ·   Branche(s) : dev-binome-4, dev-binome-Noah, dev-Noah-View</t>
  </si>
  <si>
    <t xml:space="preserve">controller/DashboardController.java</t>
  </si>
  <si>
    <t xml:space="preserve">@GetMapping(/dashboard) dashboard(Model, HttpSession)</t>
  </si>
  <si>
    <t xml:space="preserve">service/DashboardService.java</t>
  </si>
  <si>
    <t xml:space="preserve">getDashboard(debut, fin)</t>
  </si>
  <si>
    <t xml:space="preserve">compterLotsActifs · calculerTotalPorcsActifs · compterGroupesReproductionActifs · compterMisesBasProches</t>
  </si>
  <si>
    <t xml:space="preserve">calculerTauxAptitudeGlobal · calculerTauxFertiliteGlobal</t>
  </si>
  <si>
    <t xml:space="preserve">calculerVentesMois · calculerDepensesMois · calculerBeneficeNet</t>
  </si>
  <si>
    <t xml:space="preserve">listerStocksFaibles · listerVaccinationsAVenir(dateLimite)</t>
  </si>
  <si>
    <t xml:space="preserve">dto/DashboardDTO.java</t>
  </si>
  <si>
    <t xml:space="preserve">DTO indicateurs</t>
  </si>
  <si>
    <t xml:space="preserve">dashboard/index.jsp</t>
  </si>
  <si>
    <t xml:space="preserve">Tableau de bord + graphes</t>
  </si>
  <si>
    <t xml:space="preserve">Graphe d'évolution ne montre pas montées/chutes + bouton générer rapport KO (correction.md)</t>
  </si>
  <si>
    <t xml:space="preserve">controller/AlerteReproductionController.java</t>
  </si>
  <si>
    <t xml:space="preserve">@GetMapping(/reproduction/alertes) listAlertes(Model)</t>
  </si>
  <si>
    <t xml:space="preserve">@PostMapping(/{id}/lire) marquerCommeLue(id)</t>
  </si>
  <si>
    <t xml:space="preserve">@PostMapping(/{id}/traiter) traiter(id)</t>
  </si>
  <si>
    <t xml:space="preserve">service/AlerteReproductionService.java</t>
  </si>
  <si>
    <t xml:space="preserve">listerAlertesActives · genererAlertesMiseBasProche · marquerCommeLue · traiter</t>
  </si>
  <si>
    <t xml:space="preserve">repository/AlerteReproductionRepository.java</t>
  </si>
  <si>
    <t xml:space="preserve">findByStatut · findByTypeAlerteAndStatut</t>
  </si>
  <si>
    <t xml:space="preserve">model/AlerteReproduction.java · dto/AlerteReproductionDTO.java · reproduction/alertes/liste.jsp</t>
  </si>
  <si>
    <t xml:space="preserve">Entité + DTO + vue alertes</t>
  </si>
  <si>
    <t xml:space="preserve">controller/IngredientController.java</t>
  </si>
  <si>
    <t xml:space="preserve">listIngredients · showForm · save</t>
  </si>
  <si>
    <t xml:space="preserve">service/IngredientService.java</t>
  </si>
  <si>
    <t xml:space="preserve">findAllIngredients · creerIngredient · modifierIngredient · listerStocksFaibles</t>
  </si>
  <si>
    <t xml:space="preserve">repository/IngredientRepository.java</t>
  </si>
  <si>
    <t xml:space="preserve">findAllByOrderByNomAsc · existsByNomIgnoreCase · findStocksFaibles</t>
  </si>
  <si>
    <t xml:space="preserve">model/Ingredient.java · dto/IngredientDTO.java · stocks/ingredients.jsp · formIngredient.jsp</t>
  </si>
  <si>
    <t xml:space="preserve">Entité + DTO + vues ingrédients</t>
  </si>
  <si>
    <t xml:space="preserve">Renfort santé / transversal   ·   Branche(s) : dev_mandresy, frontend</t>
  </si>
  <si>
    <t xml:space="preserve">All Interface </t>
  </si>
  <si>
    <t xml:space="preserve">All JSP</t>
  </si>
  <si>
    <t xml:space="preserve">model/Depense.java</t>
  </si>
  <si>
    <t xml:space="preserve">Entité Dépense (categorie, dateDepense, montant, description)</t>
  </si>
  <si>
    <t xml:space="preserve">model/CategorieDepense.java</t>
  </si>
  <si>
    <t xml:space="preserve">Entité CategorieDepense (id, nom)</t>
  </si>
  <si>
    <t xml:space="preserve">dto/DepenseDTO.java</t>
  </si>
  <si>
    <t xml:space="preserve">DTO Dépense</t>
  </si>
  <si>
    <t xml:space="preserve">dto/CategorieDepenseDTO.java</t>
  </si>
  <si>
    <t xml:space="preserve">DTO Catégorie</t>
  </si>
  <si>
    <t xml:space="preserve">repository/CategorieDepenseRepository.java</t>
  </si>
  <si>
    <t xml:space="preserve">service/CategorieDepenseService.java</t>
  </si>
  <si>
    <t xml:space="preserve">findAllCategories · findById · creer · modifier · valider</t>
  </si>
  <si>
    <t xml:space="preserve">Catégories (Alimentation, Santé, Personnel, Transport, Maintenance, Autre)</t>
  </si>
  <si>
    <t xml:space="preserve">Renfort</t>
  </si>
  <si>
    <t xml:space="preserve">Santé</t>
  </si>
  <si>
    <t xml:space="preserve">sante/* · layout/sidebar.jsp</t>
  </si>
  <si>
    <t xml:space="preserve">Renfort module Santé (vaccin/vaccination/traitement/maladie) + sidebar</t>
  </si>
  <si>
    <t xml:space="preserve">Tâches transversales — exigences jury &amp; corrections (responsable / toute l'équipe)</t>
  </si>
  <si>
    <t xml:space="preserve">Catégorie</t>
  </si>
  <si>
    <t xml:space="preserve">Tâche / exigence</t>
  </si>
  <si>
    <t xml:space="preserve">Fichiers</t>
  </si>
  <si>
    <t xml:space="preserve">Export</t>
  </si>
  <si>
    <t xml:space="preserve">Export Excel : lots / ventes / groupes repro / analyse</t>
  </si>
  <si>
    <t xml:space="preserve">Service vide — exigence jury</t>
  </si>
  <si>
    <t xml:space="preserve">Rapports PDF : reproduction / commercial / sanitaire / reçu vente</t>
  </si>
  <si>
    <t xml:space="preserve">Import</t>
  </si>
  <si>
    <t xml:space="preserve">Import Excel : lots / clients / vaccinations / ingrédients (+ doublons &amp; colonnes)</t>
  </si>
  <si>
    <t xml:space="preserve">Template de fichier de départ pour le client</t>
  </si>
  <si>
    <t xml:space="preserve">—</t>
  </si>
  <si>
    <t xml:space="preserve">Recherche</t>
  </si>
  <si>
    <t xml:space="preserve">Recherche multi-critères sur toutes les listes</t>
  </si>
  <si>
    <t xml:space="preserve">tous les controllers/listes</t>
  </si>
  <si>
    <t xml:space="preserve">Recherche par intervalle (chiffres &amp; dates)</t>
  </si>
  <si>
    <t xml:space="preserve">listes</t>
  </si>
  <si>
    <t xml:space="preserve">Recherche par checkbox sur clés étrangères / catégories</t>
  </si>
  <si>
    <t xml:space="preserve">Liste</t>
  </si>
  <si>
    <t xml:space="preserve">Pagination côté back / base</t>
  </si>
  <si>
    <t xml:space="preserve">Tri croissant / décroissant</t>
  </si>
  <si>
    <t xml:space="preserve">Dashboard</t>
  </si>
  <si>
    <t xml:space="preserve">Graphes : histogramme, courbe, camembert (évolution ventes)</t>
  </si>
  <si>
    <t xml:space="preserve">Évolution mal affichée (correction.md)</t>
  </si>
  <si>
    <t xml:space="preserve">Bug</t>
  </si>
  <si>
    <t xml:space="preserve">Bouton « Générer rapport »</t>
  </si>
  <si>
    <t xml:space="preserve">dashboard / rapports</t>
  </si>
  <si>
    <t xml:space="preserve">Ne marche pas (correction.md)</t>
  </si>
  <si>
    <t xml:space="preserve">Bouton « Retour au lot » (page mouvements)</t>
  </si>
  <si>
    <t xml:space="preserve">lots/mouvements.jsp</t>
  </si>
  <si>
    <t xml:space="preserve">Ne marche plus (correction.md)</t>
  </si>
  <si>
    <t xml:space="preserve">Redirection saisie poids de départ après création lot</t>
  </si>
  <si>
    <t xml:space="preserve">lots/pesees.jsp</t>
  </si>
  <si>
    <t xml:space="preserve">À implémenter (correction.md)</t>
  </si>
  <si>
    <t xml:space="preserve">Tests</t>
  </si>
  <si>
    <t xml:space="preserve">Jeu de données + scénario soutenance (LOT-F-001, LOT-M-001, GR-001, mise bas, LOT-N-001, ventes, exports/imports)</t>
  </si>
  <si>
    <t xml:space="preserve">e</t>
  </si>
  <si>
    <t xml:space="preserve">Exigence plan</t>
  </si>
  <si>
    <t xml:space="preserve">ETU </t>
  </si>
  <si>
    <t xml:space="preserve">NB absence  </t>
  </si>
  <si>
    <t xml:space="preserve">Date absence </t>
  </si>
  <si>
    <t xml:space="preserve">cause </t>
  </si>
  <si>
    <t xml:space="preserve">point </t>
  </si>
  <si>
    <t xml:space="preserve">Tsanta </t>
  </si>
  <si>
    <t xml:space="preserve">02/07/2026 et 01/07/2026 </t>
  </si>
  <si>
    <t xml:space="preserve">Malade</t>
  </si>
  <si>
    <t xml:space="preserve">Faniry </t>
  </si>
  <si>
    <t xml:space="preserve">Jamais present 0</t>
  </si>
  <si>
    <t xml:space="preserve">injustifier </t>
  </si>
  <si>
    <t xml:space="preserve">Fanilo </t>
  </si>
  <si>
    <t xml:space="preserve">Toujours présent</t>
  </si>
  <si>
    <t xml:space="preserve">Noah </t>
  </si>
  <si>
    <t xml:space="preserve">Sarobidy </t>
  </si>
  <si>
    <t xml:space="preserve">Davida </t>
  </si>
  <si>
    <t xml:space="preserve">Marary</t>
  </si>
  <si>
    <t xml:space="preserve">Mandresy </t>
  </si>
  <si>
    <t xml:space="preserve">Manoa</t>
  </si>
  <si>
    <t xml:space="preserve">Irina </t>
  </si>
  <si>
    <t xml:space="preserve">Membre </t>
  </si>
  <si>
    <t xml:space="preserve">Role</t>
  </si>
  <si>
    <t xml:space="preserve">Temps(min)</t>
  </si>
  <si>
    <t xml:space="preserve">temps(heures)</t>
  </si>
  <si>
    <t xml:space="preserve">tarif horaire </t>
  </si>
  <si>
    <t xml:space="preserve">Budget Total</t>
  </si>
  <si>
    <t xml:space="preserve">Miaro</t>
  </si>
  <si>
    <t xml:space="preserve">Dev Junior</t>
  </si>
  <si>
    <t xml:space="preserve">Fanilo</t>
  </si>
  <si>
    <t xml:space="preserve">Sarobidy</t>
  </si>
  <si>
    <t xml:space="preserve">Tsanta</t>
  </si>
  <si>
    <t xml:space="preserve">Mickaella</t>
  </si>
  <si>
    <t xml:space="preserve">Chef de Projet</t>
  </si>
  <si>
    <t xml:space="preserve">Noah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</si>
</sst>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\ %"/>
    <numFmt numFmtId="166" formatCode="0.0"/>
    <numFmt numFmtId="167" formatCode="0"/>
    <numFmt numFmtId="168" formatCode="dd/mm/yy"/>
    <numFmt numFmtId="169" formatCode="#,##0"/>
  </numFmts>
  <fonts count="1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5"/>
      <color rgb="FF2E5395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B3261E"/>
      <name val="Cambria"/>
      <family val="0"/>
      <charset val="1"/>
    </font>
    <font>
      <b val="true"/>
      <sz val="14"/>
      <color rgb="FF2E5395"/>
      <name val="Cambria"/>
      <family val="0"/>
      <charset val="1"/>
    </font>
    <font>
      <sz val="10"/>
      <color rgb="FF595959"/>
      <name val="Cambria"/>
      <family val="0"/>
      <charset val="1"/>
    </font>
    <font>
      <i val="true"/>
      <sz val="10"/>
      <color rgb="FF595959"/>
      <name val="Cambria"/>
      <family val="0"/>
      <charset val="1"/>
    </font>
    <font>
      <sz val="9"/>
      <name val="Consolas"/>
      <family val="0"/>
      <charset val="1"/>
    </font>
    <font>
      <b val="true"/>
      <sz val="13"/>
      <color rgb="FF2E5395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C6EFCE"/>
        <bgColor rgb="FFD9E1F2"/>
      </patternFill>
    </fill>
    <fill>
      <patternFill patternType="solid">
        <fgColor rgb="FFFFEB9C"/>
        <bgColor rgb="FFEDEDED"/>
      </patternFill>
    </fill>
    <fill>
      <patternFill patternType="solid">
        <fgColor rgb="FFFFC7CE"/>
        <bgColor rgb="FFD9E1F2"/>
      </patternFill>
    </fill>
    <fill>
      <patternFill patternType="solid">
        <fgColor rgb="FF375623"/>
        <bgColor rgb="FF595959"/>
      </patternFill>
    </fill>
    <fill>
      <patternFill patternType="solid">
        <fgColor rgb="FF000000"/>
        <bgColor rgb="FF003300"/>
      </patternFill>
    </fill>
    <fill>
      <patternFill patternType="solid">
        <fgColor rgb="FFD9E1F2"/>
        <bgColor rgb="FFEDEDED"/>
      </patternFill>
    </fill>
    <fill>
      <patternFill patternType="solid">
        <fgColor rgb="FFEDEDED"/>
        <bgColor rgb="FFD9E1F2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B3261E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12" activeCellId="0" sqref="J1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5"/>
    <col collapsed="false" customWidth="true" hidden="false" outlineLevel="0" max="7" min="7" style="1" width="16"/>
    <col collapsed="false" customWidth="true" hidden="false" outlineLevel="0" max="8" min="8" style="1" width="18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1</v>
      </c>
      <c r="B4" s="5" t="s">
        <v>2</v>
      </c>
      <c r="C4" s="6" t="s">
        <v>3</v>
      </c>
      <c r="D4" s="7" t="s">
        <v>4</v>
      </c>
    </row>
    <row r="6" customFormat="false" ht="27.75" hidden="false" customHeight="true" outlineLevel="0" collapsed="false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</row>
    <row r="7" customFormat="false" ht="27.75" hidden="false" customHeight="true" outlineLevel="0" collapsed="false">
      <c r="A7" s="9" t="s">
        <v>13</v>
      </c>
      <c r="B7" s="10" t="s">
        <v>14</v>
      </c>
      <c r="C7" s="11" t="s">
        <v>15</v>
      </c>
      <c r="D7" s="12" t="str">
        <f aca="false">COUNTIF(MIARO!$G$7:$G$24,"Terminé")&amp;"/"&amp;COUNT(MIARO!$A$7:$A$24)</f>
        <v>18/18</v>
      </c>
      <c r="E7" s="13" t="n">
        <f aca="false">IFERROR((SUMIF(MIARO!$G$7:$G$24,"Terminé",MIARO!$F$7:$F$24)+0.5*SUMIF(MIARO!$G$7:$G$24,"En cours",MIARO!$F$7:$F$24))/SUM(MIARO!$F$7:$F$24),0)</f>
        <v>1</v>
      </c>
      <c r="F7" s="14" t="n">
        <f aca="false">SUM(MIARO!$F$7:$F$24)/60</f>
        <v>7.33333333333333</v>
      </c>
      <c r="G7" s="14" t="n">
        <f aca="false">(SUMIF(MIARO!$G$7:$G$24,"Terminé",MIARO!$F$7:$F$24)+0.5*SUMIF(MIARO!$G$7:$G$24,"En cours",MIARO!$F$7:$F$24))/60</f>
        <v>7.33333333333333</v>
      </c>
      <c r="H7" s="15" t="n">
        <f aca="false">(SUMIF(MIARO!$G$7:$G$24,"Pas fini",MIARO!$F$7:$F$24)+0.5*SUMIF(MIARO!$G$7:$G$24,"En cours",MIARO!$F$7:$F$24))/60</f>
        <v>0</v>
      </c>
    </row>
    <row r="8" customFormat="false" ht="15" hidden="false" customHeight="true" outlineLevel="0" collapsed="false">
      <c r="A8" s="9" t="s">
        <v>16</v>
      </c>
      <c r="B8" s="10" t="s">
        <v>17</v>
      </c>
      <c r="C8" s="11" t="s">
        <v>18</v>
      </c>
      <c r="D8" s="12" t="str">
        <f aca="false">COUNTIF(DAVIDA!$G$7:$G$29,"Terminé")&amp;"/"&amp;COUNT(DAVIDA!$A$7:$A$29)</f>
        <v>23/23</v>
      </c>
      <c r="E8" s="13" t="n">
        <f aca="false">IFERROR((SUMIF(DAVIDA!$G$7:$G$29,"Terminé",DAVIDA!$F$7:$F$29)+0.5*SUMIF(DAVIDA!$G$7:$G$29,"En cours",DAVIDA!$F$7:$F$29))/SUM(DAVIDA!$F$7:$F$29),0)</f>
        <v>1</v>
      </c>
      <c r="F8" s="14" t="n">
        <f aca="false">SUM(DAVIDA!$F$7:$F$29)/60</f>
        <v>16.5833333333333</v>
      </c>
      <c r="G8" s="14" t="n">
        <f aca="false">(SUMIF(DAVIDA!$G$7:$G$29,"Terminé",DAVIDA!$F$7:$F$29)+0.5*SUMIF(DAVIDA!$G$7:$G$29,"En cours",DAVIDA!$F$7:$F$29))/60</f>
        <v>16.5833333333333</v>
      </c>
      <c r="H8" s="15" t="n">
        <f aca="false">(SUMIF(DAVIDA!$G$7:$G$29,"Pas fini",DAVIDA!$F$7:$F$29)+0.5*SUMIF(DAVIDA!$G$7:$G$29,"En cours",DAVIDA!$F$7:$F$29))/60</f>
        <v>0</v>
      </c>
    </row>
    <row r="9" customFormat="false" ht="27.75" hidden="false" customHeight="true" outlineLevel="0" collapsed="false">
      <c r="A9" s="9" t="s">
        <v>19</v>
      </c>
      <c r="B9" s="10" t="s">
        <v>20</v>
      </c>
      <c r="C9" s="11" t="s">
        <v>21</v>
      </c>
      <c r="D9" s="12" t="str">
        <f aca="false">COUNTIF(FANILO!$G$7:$G$26,"Terminé")&amp;"/"&amp;COUNT(FANILO!$A$7:$A$26)</f>
        <v>20/20</v>
      </c>
      <c r="E9" s="16" t="n">
        <f aca="false">IFERROR((SUMIF(FANILO!$G$7:$G$26,"Terminé",FANILO!$F$7:$F$26)+0.5*SUMIF(FANILO!$G$7:$G$26,"En cours",FANILO!$F$7:$F$26))/SUM(FANILO!$F$7:$F$26),0)</f>
        <v>1</v>
      </c>
      <c r="F9" s="14" t="n">
        <f aca="false">SUM(FANILO!$F$7:$F$26)/60</f>
        <v>23.3333333333333</v>
      </c>
      <c r="G9" s="14" t="n">
        <f aca="false">(SUMIF(FANILO!$G$7:$G$26,"Terminé",FANILO!$F$7:$F$26)+0.5*SUMIF(FANILO!$G$7:$G$26,"En cours",FANILO!$F$7:$F$26))/60</f>
        <v>23.3333333333333</v>
      </c>
      <c r="H9" s="17" t="n">
        <f aca="false">(SUMIF(FANILO!$G$7:$G$26,"Pas fini",FANILO!$F$7:$F$26)+0.5*SUMIF(FANILO!$G$7:$G$26,"En cours",FANILO!$F$7:$F$26))/60</f>
        <v>0</v>
      </c>
    </row>
    <row r="10" customFormat="false" ht="15" hidden="false" customHeight="true" outlineLevel="0" collapsed="false">
      <c r="A10" s="9" t="s">
        <v>22</v>
      </c>
      <c r="B10" s="10" t="s">
        <v>23</v>
      </c>
      <c r="C10" s="11" t="s">
        <v>24</v>
      </c>
      <c r="D10" s="12" t="str">
        <f aca="false">COUNTIF(NOMENA!$G$7:$G$19,"Terminé")&amp;"/"&amp;COUNT(NOMENA!$A$7:$A$19)</f>
        <v>13/13</v>
      </c>
      <c r="E10" s="16" t="n">
        <f aca="false">IFERROR((SUMIF(NOMENA!$G$7:$G$19,"Terminé",NOMENA!$F$7:$F$19)+0.5*SUMIF(NOMENA!$G$7:$G$19,"En cours",NOMENA!$F$7:$F$19))/SUM(NOMENA!$F$7:$F$19),0)</f>
        <v>1</v>
      </c>
      <c r="F10" s="14" t="n">
        <f aca="false">SUM(NOMENA!$F$7:$F$19)/60</f>
        <v>12.5</v>
      </c>
      <c r="G10" s="14" t="n">
        <f aca="false">(SUMIF(NOMENA!$G$7:$G$19,"Terminé",NOMENA!$F$7:$F$19)+0.5*SUMIF(NOMENA!$G$7:$G$19,"En cours",NOMENA!$F$7:$F$19))/60</f>
        <v>12.5</v>
      </c>
      <c r="H10" s="18" t="n">
        <f aca="false">(SUMIF(NOMENA!$G$7:$G$19,"Pas fini",NOMENA!$F$7:$F$19)+0.5*SUMIF(NOMENA!$G$7:$G$19,"En cours",NOMENA!$F$7:$F$19))/60</f>
        <v>0</v>
      </c>
    </row>
    <row r="11" customFormat="false" ht="27.75" hidden="false" customHeight="true" outlineLevel="0" collapsed="false">
      <c r="A11" s="9" t="s">
        <v>25</v>
      </c>
      <c r="B11" s="10" t="s">
        <v>26</v>
      </c>
      <c r="C11" s="11" t="s">
        <v>27</v>
      </c>
      <c r="D11" s="12" t="str">
        <f aca="false">COUNTIF(TSANTA!$G$7:$G$24,"Terminé")&amp;"/"&amp;COUNT(TSANTA!$A$7:$A$24)</f>
        <v>18/18</v>
      </c>
      <c r="E11" s="13" t="n">
        <f aca="false">E10</f>
        <v>1</v>
      </c>
      <c r="F11" s="14" t="n">
        <f aca="false">SUM(TSANTA!$F$7:$F$24)/60</f>
        <v>16.5</v>
      </c>
      <c r="G11" s="14" t="n">
        <f aca="false">(SUMIF(TSANTA!$G$7:$G$24,"Terminé",TSANTA!$F$7:$F$24)+0.5*SUMIF(TSANTA!$G$7:$G$24,"En cours",TSANTA!$F$7:$F$24))/60</f>
        <v>16.5</v>
      </c>
      <c r="H11" s="15" t="n">
        <f aca="false">H10</f>
        <v>0</v>
      </c>
    </row>
    <row r="12" customFormat="false" ht="27.75" hidden="false" customHeight="true" outlineLevel="0" collapsed="false">
      <c r="A12" s="9" t="s">
        <v>28</v>
      </c>
      <c r="B12" s="10" t="s">
        <v>29</v>
      </c>
      <c r="C12" s="11" t="s">
        <v>30</v>
      </c>
      <c r="D12" s="12" t="str">
        <f aca="false">COUNTIF(MICKAELLA!$G$7:$G$27,"Terminé")&amp;"/"&amp;COUNT(MICKAELLA!$A$7:$A$27)</f>
        <v>21/21</v>
      </c>
      <c r="E12" s="16" t="n">
        <f aca="false">IFERROR((SUMIF(MICKAELLA!$G$7:$G$27,"Terminé",MICKAELLA!$F$7:$F$27)+0.5*SUMIF(MICKAELLA!$G$7:$G$27,"En cours",MICKAELLA!$F$7:$F$27))/SUM(MICKAELLA!$F$7:$F$27),0)</f>
        <v>1</v>
      </c>
      <c r="F12" s="14" t="n">
        <f aca="false">SUM(MICKAELLA!$F$7:$F$27)/60</f>
        <v>12.6666666666667</v>
      </c>
      <c r="G12" s="14" t="n">
        <f aca="false">(SUMIF(MICKAELLA!$G$7:$G$27,"Terminé",MICKAELLA!$F$7:$F$27)+0.5*SUMIF(MICKAELLA!$G$7:$G$27,"En cours",MICKAELLA!$F$7:$F$27))/60</f>
        <v>12.6666666666667</v>
      </c>
      <c r="H12" s="18" t="n">
        <f aca="false">(SUMIF(MICKAELLA!$G$7:$G$27,"Pas fini",MICKAELLA!$F$7:$F$27)+0.5*SUMIF(MICKAELLA!$G$7:$G$27,"En cours",MICKAELLA!$F$7:$F$27))/60</f>
        <v>0</v>
      </c>
    </row>
    <row r="13" customFormat="false" ht="27.75" hidden="false" customHeight="true" outlineLevel="0" collapsed="false">
      <c r="A13" s="9" t="s">
        <v>31</v>
      </c>
      <c r="B13" s="10" t="s">
        <v>32</v>
      </c>
      <c r="C13" s="11" t="s">
        <v>33</v>
      </c>
      <c r="D13" s="12" t="str">
        <f aca="false">COUNTIF(MANOA!$G$7:$G$25,"Terminé")&amp;"/"&amp;COUNT(MANOA!$A$7:$A$25)</f>
        <v>19/19</v>
      </c>
      <c r="E13" s="13" t="n">
        <f aca="false">IFERROR((SUMIF(MANOA!$G$7:$G$25,"Terminé",MANOA!$F$7:$F$25)+0.5*SUMIF(MANOA!$G$7:$G$25,"En cours",MANOA!$F$7:$F$25))/SUM(MANOA!$F$7:$F$25),0)</f>
        <v>1</v>
      </c>
      <c r="F13" s="14" t="n">
        <f aca="false">SUM(MANOA!$F$7:$F$25)/60</f>
        <v>14</v>
      </c>
      <c r="G13" s="14" t="n">
        <f aca="false">(SUMIF(MANOA!$G$7:$G$25,"Terminé",MANOA!$F$7:$F$25)+0.5*SUMIF(MANOA!$G$7:$G$25,"En cours",MANOA!$F$7:$F$25))/60</f>
        <v>14</v>
      </c>
      <c r="H13" s="15" t="n">
        <f aca="false">(SUMIF(MANOA!$G$7:$G$25,"Pas fini",MANOA!$F$7:$F$25)+0.5*SUMIF(MANOA!$G$7:$G$25,"En cours",MANOA!$F$7:$F$25))/60</f>
        <v>0</v>
      </c>
    </row>
    <row r="14" customFormat="false" ht="27.75" hidden="false" customHeight="true" outlineLevel="0" collapsed="false">
      <c r="A14" s="9" t="s">
        <v>34</v>
      </c>
      <c r="B14" s="10" t="s">
        <v>35</v>
      </c>
      <c r="C14" s="11" t="s">
        <v>36</v>
      </c>
      <c r="D14" s="12" t="str">
        <f aca="false">COUNTIF(NOAH!$G$7:$G$24,"Terminé")&amp;"/"&amp;COUNT(NOAH!$A$7:$A$24)</f>
        <v>18/18</v>
      </c>
      <c r="E14" s="16" t="n">
        <f aca="false">IFERROR((SUMIF(NOAH!$G$7:$G$24,"Terminé",NOAH!$F$7:$F$24)+0.5*SUMIF(NOAH!$G$7:$G$24,"En cours",NOAH!$F$7:$F$24))/SUM(NOAH!$F$7:$F$24),0)</f>
        <v>1</v>
      </c>
      <c r="F14" s="14" t="n">
        <f aca="false">SUM(NOAH!$F$7:$F$24)/60</f>
        <v>17</v>
      </c>
      <c r="G14" s="14" t="n">
        <f aca="false">(SUMIF(NOAH!$G$7:$G$24,"Terminé",NOAH!$F$7:$F$24)+0.5*SUMIF(NOAH!$G$7:$G$24,"En cours",NOAH!$F$7:$F$24))/60</f>
        <v>17</v>
      </c>
      <c r="H14" s="15" t="n">
        <f aca="false">(SUMIF(NOAH!$G$7:$G$24,"Pas fini",NOAH!$F$7:$F$24)+0.5*SUMIF(NOAH!$G$7:$G$24,"En cours",NOAH!$F$7:$F$24))/60</f>
        <v>0</v>
      </c>
    </row>
    <row r="15" customFormat="false" ht="27.75" hidden="false" customHeight="true" outlineLevel="0" collapsed="false">
      <c r="A15" s="9" t="s">
        <v>37</v>
      </c>
      <c r="B15" s="10" t="s">
        <v>38</v>
      </c>
      <c r="C15" s="11" t="s">
        <v>39</v>
      </c>
      <c r="D15" s="12" t="str">
        <f aca="false">COUNTIF(MANDRESY!$G$8:$G$16,"Terminé")&amp;"/"&amp;COUNT(MANDRESY!$A$8:$A$16)</f>
        <v>9/9</v>
      </c>
      <c r="E15" s="19" t="n">
        <f aca="false">IFERROR((SUMIF(MANDRESY!$G$8:$G$16,"Terminé",MANDRESY!$F$8:$F$16)+0.5*SUMIF(MANDRESY!$G$8:$G$16,"En cours",MANDRESY!$F$8:$F$16))/SUM(MANDRESY!$F$8:$F$16),0)</f>
        <v>1</v>
      </c>
      <c r="F15" s="14" t="n">
        <f aca="false">SUM(MANDRESY!$F$8:$F$16)/60</f>
        <v>8.25</v>
      </c>
      <c r="G15" s="14" t="n">
        <f aca="false">(SUMIF(MANDRESY!$G$8:$G$16,"Terminé",MANDRESY!$F$8:$F$16)+0.5*SUMIF(MANDRESY!$G$8:$G$16,"En cours",MANDRESY!$F$8:$F$16))/60</f>
        <v>8.25</v>
      </c>
      <c r="H15" s="15" t="n">
        <f aca="false">(SUMIF(MANDRESY!$G$8:$G$16,"Pas fini",MANDRESY!$F$8:$F$16)+0.5*SUMIF(MANDRESY!$G$8:$G$16,"En cours",MANDRESY!$F$8:$F$16))/60</f>
        <v>0</v>
      </c>
    </row>
    <row r="17" customFormat="false" ht="15" hidden="false" customHeight="true" outlineLevel="0" collapsed="false">
      <c r="A17" s="20"/>
      <c r="B17" s="20"/>
      <c r="C17" s="20"/>
      <c r="D17" s="20"/>
      <c r="E17" s="20"/>
      <c r="F17" s="20"/>
      <c r="G17" s="20"/>
      <c r="H17" s="20"/>
    </row>
    <row r="18" customFormat="false" ht="15" hidden="false" customHeight="true" outlineLevel="0" collapsed="false">
      <c r="A18" s="21" t="s">
        <v>40</v>
      </c>
      <c r="B18" s="21"/>
      <c r="C18" s="21"/>
      <c r="D18" s="21"/>
      <c r="E18" s="21"/>
      <c r="F18" s="21"/>
      <c r="G18" s="21"/>
      <c r="H18" s="21"/>
    </row>
  </sheetData>
  <mergeCells count="4">
    <mergeCell ref="A1:H1"/>
    <mergeCell ref="A2:H2"/>
    <mergeCell ref="A17:H17"/>
    <mergeCell ref="A18:H18"/>
  </mergeCells>
  <conditionalFormatting sqref="H7:H15">
    <cfRule type="dataBar" priority="2">
      <dataBar showValue="1" minLength="10" maxLength="90">
        <cfvo type="min" val="0"/>
        <cfvo type="max" val="0"/>
        <color rgb="FFC2410C"/>
      </dataBar>
      <extLst>
        <ext xmlns:x14="http://schemas.microsoft.com/office/spreadsheetml/2009/9/main" uri="{B025F937-C7B1-47D3-B67F-A62EFF666E3E}">
          <x14:id>{5C1CA5F2-93AC-468B-A8BE-5B5A73392676}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1CA5F2-93AC-468B-A8BE-5B5A73392676}">
            <x14:dataBar minLength="10" maxLength="90" axisPosition="none" gradient="true">
              <x14:cfvo type="min"/>
              <x14:cfvo type="max"/>
              <x14:negativeFillColor rgb="FFC2410C"/>
              <x14:axisColor rgb="FF000000"/>
            </x14:dataBar>
          </x14:cfRule>
          <xm:sqref>H7:H15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D32" activeCellId="0" sqref="D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13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41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15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"&amp;COUNTIF($G$7:$G$24,"Terminé")&amp;"/"&amp;COUNT($A$7:$A$24)&amp;" fonctions · "&amp;TEXT(IFERROR((SUMIF($G$7:$G$24,"Terminé",$F$7:$F$24)+0.5*SUMIF($G$7:$G$24,"En cours",$F$7:$F$24))/SUM($F$7:$F$24),0),"0%")&amp;"   ·   Durée totale estimée : "&amp;TEXT(SUM($F$7:$F$24)/60,"0.0")&amp;" h"&amp;"   ·   Heures faites : "&amp;TEXT((SUMIF($G$7:$G$24,"Terminé",$F$7:$F$24)+0.5*SUMIF($G$7:$G$24,"En cours",$F$7:$F$24))/60,"0.0")&amp;" h"&amp;"   ·   Heures restantes : "&amp;TEXT((SUMIF($G$7:$G$24,"Pas fini",$F$7:$F$24)+0.5*SUMIF($G$7:$G$24,"En cours",$F$7:$F$24))/60,"0.0")&amp;" h"</f>
        <v>Avancement : 18/18 fonctions · 100%   ·   Durée totale estimée : 7,3 h   ·   Heures faites : 7,3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15" hidden="false" customHeight="true" outlineLevel="0" collapsed="false">
      <c r="A7" s="12" t="n">
        <v>1</v>
      </c>
      <c r="B7" s="28" t="s">
        <v>50</v>
      </c>
      <c r="C7" s="29" t="s">
        <v>51</v>
      </c>
      <c r="D7" s="11" t="s">
        <v>52</v>
      </c>
      <c r="E7" s="30" t="s">
        <v>53</v>
      </c>
      <c r="F7" s="31" t="n">
        <v>20</v>
      </c>
      <c r="G7" s="32" t="s">
        <v>2</v>
      </c>
      <c r="H7" s="11"/>
    </row>
    <row r="8" customFormat="false" ht="15" hidden="false" customHeight="true" outlineLevel="0" collapsed="false">
      <c r="A8" s="12" t="n">
        <v>2</v>
      </c>
      <c r="B8" s="28" t="s">
        <v>50</v>
      </c>
      <c r="C8" s="29" t="s">
        <v>51</v>
      </c>
      <c r="D8" s="11" t="s">
        <v>54</v>
      </c>
      <c r="E8" s="30" t="s">
        <v>55</v>
      </c>
      <c r="F8" s="31" t="n">
        <v>20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56</v>
      </c>
      <c r="D9" s="11" t="s">
        <v>57</v>
      </c>
      <c r="E9" s="30" t="s">
        <v>58</v>
      </c>
      <c r="F9" s="31" t="n">
        <v>15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59</v>
      </c>
      <c r="D10" s="11" t="s">
        <v>60</v>
      </c>
      <c r="E10" s="30" t="s">
        <v>61</v>
      </c>
      <c r="F10" s="31" t="n">
        <v>10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62</v>
      </c>
      <c r="D11" s="11" t="s">
        <v>63</v>
      </c>
      <c r="E11" s="30" t="s">
        <v>64</v>
      </c>
      <c r="F11" s="31" t="n">
        <v>25</v>
      </c>
      <c r="G11" s="32" t="s">
        <v>2</v>
      </c>
      <c r="H11" s="11"/>
    </row>
    <row r="12" customFormat="false" ht="15" hidden="false" customHeight="true" outlineLevel="0" collapsed="false">
      <c r="A12" s="12" t="n">
        <v>6</v>
      </c>
      <c r="B12" s="28" t="s">
        <v>50</v>
      </c>
      <c r="C12" s="29" t="s">
        <v>62</v>
      </c>
      <c r="D12" s="11" t="s">
        <v>65</v>
      </c>
      <c r="E12" s="30" t="s">
        <v>66</v>
      </c>
      <c r="F12" s="31" t="n">
        <v>25</v>
      </c>
      <c r="G12" s="32" t="s">
        <v>2</v>
      </c>
      <c r="H12" s="11"/>
    </row>
    <row r="13" customFormat="false" ht="15" hidden="false" customHeight="true" outlineLevel="0" collapsed="false">
      <c r="A13" s="12" t="n">
        <v>7</v>
      </c>
      <c r="B13" s="28" t="s">
        <v>50</v>
      </c>
      <c r="C13" s="29" t="s">
        <v>67</v>
      </c>
      <c r="D13" s="11" t="s">
        <v>68</v>
      </c>
      <c r="E13" s="30" t="s">
        <v>69</v>
      </c>
      <c r="F13" s="31" t="n">
        <v>20</v>
      </c>
      <c r="G13" s="32" t="s">
        <v>2</v>
      </c>
      <c r="H13" s="11"/>
    </row>
    <row r="14" customFormat="false" ht="15" hidden="false" customHeight="true" outlineLevel="0" collapsed="false">
      <c r="A14" s="12" t="n">
        <v>8</v>
      </c>
      <c r="B14" s="28" t="s">
        <v>50</v>
      </c>
      <c r="C14" s="29" t="s">
        <v>70</v>
      </c>
      <c r="D14" s="11" t="s">
        <v>71</v>
      </c>
      <c r="E14" s="30" t="s">
        <v>72</v>
      </c>
      <c r="F14" s="31" t="n">
        <v>20</v>
      </c>
      <c r="G14" s="32" t="s">
        <v>2</v>
      </c>
      <c r="H14" s="11"/>
    </row>
    <row r="15" customFormat="false" ht="15" hidden="false" customHeight="true" outlineLevel="0" collapsed="false">
      <c r="A15" s="12" t="n">
        <v>9</v>
      </c>
      <c r="B15" s="28" t="s">
        <v>50</v>
      </c>
      <c r="C15" s="29" t="s">
        <v>70</v>
      </c>
      <c r="D15" s="11" t="s">
        <v>73</v>
      </c>
      <c r="E15" s="30" t="s">
        <v>74</v>
      </c>
      <c r="F15" s="31" t="n">
        <v>20</v>
      </c>
      <c r="G15" s="32" t="s">
        <v>2</v>
      </c>
      <c r="H15" s="11"/>
    </row>
    <row r="16" customFormat="false" ht="15" hidden="false" customHeight="true" outlineLevel="0" collapsed="false">
      <c r="A16" s="12" t="n">
        <v>10</v>
      </c>
      <c r="B16" s="28" t="s">
        <v>50</v>
      </c>
      <c r="C16" s="29" t="s">
        <v>70</v>
      </c>
      <c r="D16" s="11" t="s">
        <v>75</v>
      </c>
      <c r="E16" s="30" t="s">
        <v>76</v>
      </c>
      <c r="F16" s="31" t="n">
        <v>20</v>
      </c>
      <c r="G16" s="32" t="s">
        <v>2</v>
      </c>
      <c r="H16" s="11"/>
    </row>
    <row r="17" customFormat="false" ht="15" hidden="false" customHeight="true" outlineLevel="0" collapsed="false">
      <c r="A17" s="12" t="n">
        <v>11</v>
      </c>
      <c r="B17" s="28" t="s">
        <v>50</v>
      </c>
      <c r="C17" s="29" t="s">
        <v>70</v>
      </c>
      <c r="D17" s="11" t="s">
        <v>77</v>
      </c>
      <c r="E17" s="30" t="s">
        <v>78</v>
      </c>
      <c r="F17" s="31" t="n">
        <v>40</v>
      </c>
      <c r="G17" s="32" t="s">
        <v>2</v>
      </c>
      <c r="H17" s="11"/>
    </row>
    <row r="18" customFormat="false" ht="15" hidden="false" customHeight="true" outlineLevel="0" collapsed="false">
      <c r="A18" s="12" t="n">
        <v>12</v>
      </c>
      <c r="B18" s="11" t="s">
        <v>79</v>
      </c>
      <c r="C18" s="29" t="s">
        <v>80</v>
      </c>
      <c r="D18" s="11" t="s">
        <v>81</v>
      </c>
      <c r="E18" s="30" t="s">
        <v>82</v>
      </c>
      <c r="F18" s="31" t="n">
        <v>30</v>
      </c>
      <c r="G18" s="32" t="s">
        <v>2</v>
      </c>
      <c r="H18" s="11"/>
    </row>
    <row r="19" customFormat="false" ht="15" hidden="false" customHeight="true" outlineLevel="0" collapsed="false">
      <c r="A19" s="12" t="n">
        <v>13</v>
      </c>
      <c r="B19" s="11" t="s">
        <v>79</v>
      </c>
      <c r="C19" s="29" t="s">
        <v>80</v>
      </c>
      <c r="D19" s="11" t="s">
        <v>81</v>
      </c>
      <c r="E19" s="30" t="s">
        <v>83</v>
      </c>
      <c r="F19" s="31" t="n">
        <v>30</v>
      </c>
      <c r="G19" s="32" t="s">
        <v>2</v>
      </c>
      <c r="H19" s="11"/>
    </row>
    <row r="20" customFormat="false" ht="21.75" hidden="false" customHeight="true" outlineLevel="0" collapsed="false">
      <c r="A20" s="12" t="n">
        <v>14</v>
      </c>
      <c r="B20" s="11" t="s">
        <v>79</v>
      </c>
      <c r="C20" s="29" t="s">
        <v>80</v>
      </c>
      <c r="D20" s="11" t="s">
        <v>81</v>
      </c>
      <c r="E20" s="30" t="s">
        <v>84</v>
      </c>
      <c r="F20" s="31" t="n">
        <v>30</v>
      </c>
      <c r="G20" s="32" t="s">
        <v>2</v>
      </c>
      <c r="H20" s="11"/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85</v>
      </c>
      <c r="D21" s="11" t="s">
        <v>86</v>
      </c>
      <c r="E21" s="30" t="s">
        <v>87</v>
      </c>
      <c r="F21" s="31" t="n">
        <v>30</v>
      </c>
      <c r="G21" s="32" t="s">
        <v>2</v>
      </c>
      <c r="H21" s="11"/>
    </row>
    <row r="22" customFormat="false" ht="1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86</v>
      </c>
      <c r="E22" s="30" t="s">
        <v>88</v>
      </c>
      <c r="F22" s="31" t="n">
        <v>30</v>
      </c>
      <c r="G22" s="32" t="s">
        <v>2</v>
      </c>
      <c r="H22" s="11"/>
    </row>
    <row r="23" customFormat="false" ht="21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90</v>
      </c>
      <c r="E23" s="30" t="s">
        <v>91</v>
      </c>
      <c r="F23" s="31" t="n">
        <v>15</v>
      </c>
      <c r="G23" s="32" t="s">
        <v>2</v>
      </c>
      <c r="H23" s="11"/>
    </row>
    <row r="24" customFormat="false" ht="27.75" hidden="false" customHeight="true" outlineLevel="0" collapsed="false">
      <c r="A24" s="12" t="n">
        <v>18</v>
      </c>
      <c r="B24" s="11" t="s">
        <v>79</v>
      </c>
      <c r="C24" s="29" t="s">
        <v>70</v>
      </c>
      <c r="D24" s="11" t="s">
        <v>92</v>
      </c>
      <c r="E24" s="30" t="s">
        <v>93</v>
      </c>
      <c r="F24" s="31" t="n">
        <v>40</v>
      </c>
      <c r="G24" s="32" t="s">
        <v>2</v>
      </c>
      <c r="H24" s="11"/>
    </row>
    <row r="25" customFormat="false" ht="15" hidden="false" customHeight="true" outlineLevel="0" collapsed="false">
      <c r="E25" s="33" t="s">
        <v>94</v>
      </c>
      <c r="F25" s="34" t="n">
        <f aca="false">SUM($F$7:$F$24)</f>
        <v>440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4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D1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95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96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18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"&amp;COUNTIF($G$7:$G$29,"Terminé")&amp;"/"&amp;COUNT($A$7:$A$29)&amp;" fonctions · "&amp;TEXT(IFERROR((SUMIF($G$7:$G$29,"Terminé",$F$7:$F$29)+0.5*SUMIF($G$7:$G$29,"En cours",$F$7:$F$29))/SUM($F$7:$F$29),0),"0%")&amp;"   ·   Durée totale estimée : "&amp;TEXT(SUM($F$7:$F$29)/60,"0.0")&amp;" h"&amp;"   ·   Heures faites : "&amp;TEXT((SUMIF($G$7:$G$29,"Terminé",$F$7:$F$29)+0.5*SUMIF($G$7:$G$29,"En cours",$F$7:$F$29))/60,"0.0")&amp;" h"&amp;"   ·   Heures restantes : "&amp;TEXT((SUMIF($G$7:$G$29,"Pas fini",$F$7:$F$29)+0.5*SUMIF($G$7:$G$29,"En cours",$F$7:$F$29))/60,"0.0")&amp;" h"</f>
        <v>Avancement : 23/23 fonctions · 100%   ·   Durée totale estimée : 16,6 h   ·   Heures faites : 16,6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1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97</v>
      </c>
      <c r="E7" s="30" t="s">
        <v>98</v>
      </c>
      <c r="F7" s="31" t="n">
        <v>30</v>
      </c>
      <c r="G7" s="32" t="s">
        <v>2</v>
      </c>
      <c r="H7" s="11"/>
    </row>
    <row r="8" customFormat="false" ht="21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97</v>
      </c>
      <c r="E8" s="30" t="s">
        <v>99</v>
      </c>
      <c r="F8" s="31" t="n">
        <v>30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97</v>
      </c>
      <c r="E9" s="30" t="s">
        <v>100</v>
      </c>
      <c r="F9" s="31" t="n">
        <v>30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80</v>
      </c>
      <c r="D10" s="11" t="s">
        <v>101</v>
      </c>
      <c r="E10" s="30" t="s">
        <v>102</v>
      </c>
      <c r="F10" s="31" t="n">
        <v>30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80</v>
      </c>
      <c r="D11" s="11" t="s">
        <v>101</v>
      </c>
      <c r="E11" s="30" t="s">
        <v>103</v>
      </c>
      <c r="F11" s="31" t="n">
        <v>30</v>
      </c>
      <c r="G11" s="32" t="s">
        <v>2</v>
      </c>
      <c r="H11" s="11"/>
    </row>
    <row r="12" customFormat="false" ht="21.75" hidden="false" customHeight="true" outlineLevel="0" collapsed="false">
      <c r="A12" s="12" t="n">
        <v>6</v>
      </c>
      <c r="B12" s="28" t="s">
        <v>50</v>
      </c>
      <c r="C12" s="29" t="s">
        <v>80</v>
      </c>
      <c r="D12" s="11" t="s">
        <v>101</v>
      </c>
      <c r="E12" s="30" t="s">
        <v>104</v>
      </c>
      <c r="F12" s="31" t="n">
        <v>30</v>
      </c>
      <c r="G12" s="32" t="s">
        <v>2</v>
      </c>
      <c r="H12" s="11"/>
    </row>
    <row r="13" customFormat="false" ht="21.75" hidden="false" customHeight="true" outlineLevel="0" collapsed="false">
      <c r="A13" s="12" t="n">
        <v>7</v>
      </c>
      <c r="B13" s="28" t="s">
        <v>50</v>
      </c>
      <c r="C13" s="29" t="s">
        <v>80</v>
      </c>
      <c r="D13" s="11" t="s">
        <v>101</v>
      </c>
      <c r="E13" s="30" t="s">
        <v>105</v>
      </c>
      <c r="F13" s="31" t="n">
        <v>30</v>
      </c>
      <c r="G13" s="32" t="s">
        <v>2</v>
      </c>
      <c r="H13" s="11"/>
    </row>
    <row r="14" customFormat="false" ht="1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106</v>
      </c>
      <c r="E14" s="30" t="s">
        <v>107</v>
      </c>
      <c r="F14" s="31" t="n">
        <v>30</v>
      </c>
      <c r="G14" s="32" t="s">
        <v>2</v>
      </c>
      <c r="H14" s="11"/>
    </row>
    <row r="15" customFormat="false" ht="1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106</v>
      </c>
      <c r="E15" s="30" t="s">
        <v>108</v>
      </c>
      <c r="F15" s="31" t="n">
        <v>30</v>
      </c>
      <c r="G15" s="32" t="s">
        <v>2</v>
      </c>
      <c r="H15" s="11"/>
    </row>
    <row r="16" customFormat="false" ht="15" hidden="false" customHeight="true" outlineLevel="0" collapsed="false">
      <c r="A16" s="12" t="n">
        <v>10</v>
      </c>
      <c r="B16" s="28" t="s">
        <v>50</v>
      </c>
      <c r="C16" s="29" t="s">
        <v>85</v>
      </c>
      <c r="D16" s="11" t="s">
        <v>106</v>
      </c>
      <c r="E16" s="30" t="s">
        <v>109</v>
      </c>
      <c r="F16" s="31" t="n">
        <v>30</v>
      </c>
      <c r="G16" s="32" t="s">
        <v>2</v>
      </c>
      <c r="H16" s="11"/>
    </row>
    <row r="17" customFormat="false" ht="32.25" hidden="false" customHeight="true" outlineLevel="0" collapsed="false">
      <c r="A17" s="12" t="n">
        <v>11</v>
      </c>
      <c r="B17" s="28" t="s">
        <v>50</v>
      </c>
      <c r="C17" s="29" t="s">
        <v>85</v>
      </c>
      <c r="D17" s="11" t="s">
        <v>110</v>
      </c>
      <c r="E17" s="30" t="s">
        <v>111</v>
      </c>
      <c r="F17" s="31" t="n">
        <v>180</v>
      </c>
      <c r="G17" s="32" t="s">
        <v>2</v>
      </c>
      <c r="H17" s="11"/>
    </row>
    <row r="18" customFormat="false" ht="15" hidden="false" customHeight="true" outlineLevel="0" collapsed="false">
      <c r="A18" s="12" t="n">
        <v>12</v>
      </c>
      <c r="B18" s="28" t="s">
        <v>50</v>
      </c>
      <c r="C18" s="29" t="s">
        <v>89</v>
      </c>
      <c r="D18" s="11" t="s">
        <v>112</v>
      </c>
      <c r="E18" s="30" t="s">
        <v>113</v>
      </c>
      <c r="F18" s="31" t="n">
        <v>30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114</v>
      </c>
      <c r="D19" s="11" t="s">
        <v>115</v>
      </c>
      <c r="E19" s="30" t="s">
        <v>116</v>
      </c>
      <c r="F19" s="31" t="n">
        <v>60</v>
      </c>
      <c r="G19" s="32" t="s">
        <v>2</v>
      </c>
      <c r="H19" s="11"/>
    </row>
    <row r="20" customFormat="false" ht="27.75" hidden="false" customHeight="true" outlineLevel="0" collapsed="false">
      <c r="A20" s="12" t="n">
        <v>14</v>
      </c>
      <c r="B20" s="28" t="s">
        <v>50</v>
      </c>
      <c r="C20" s="29" t="s">
        <v>70</v>
      </c>
      <c r="D20" s="11" t="s">
        <v>117</v>
      </c>
      <c r="E20" s="30" t="s">
        <v>118</v>
      </c>
      <c r="F20" s="31" t="n">
        <v>60</v>
      </c>
      <c r="G20" s="32" t="s">
        <v>2</v>
      </c>
      <c r="H20" s="11"/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80</v>
      </c>
      <c r="D21" s="11" t="s">
        <v>119</v>
      </c>
      <c r="E21" s="30" t="s">
        <v>120</v>
      </c>
      <c r="F21" s="31" t="n">
        <v>30</v>
      </c>
      <c r="G21" s="32" t="s">
        <v>2</v>
      </c>
      <c r="H21" s="11"/>
    </row>
    <row r="22" customFormat="false" ht="21.75" hidden="false" customHeight="true" outlineLevel="0" collapsed="false">
      <c r="A22" s="12" t="n">
        <v>16</v>
      </c>
      <c r="B22" s="11" t="s">
        <v>79</v>
      </c>
      <c r="C22" s="29" t="s">
        <v>80</v>
      </c>
      <c r="D22" s="11" t="s">
        <v>119</v>
      </c>
      <c r="E22" s="30" t="s">
        <v>121</v>
      </c>
      <c r="F22" s="31" t="n">
        <v>30</v>
      </c>
      <c r="G22" s="32" t="s">
        <v>2</v>
      </c>
      <c r="H22" s="11"/>
    </row>
    <row r="23" customFormat="false" ht="21.75" hidden="false" customHeight="true" outlineLevel="0" collapsed="false">
      <c r="A23" s="12" t="n">
        <v>17</v>
      </c>
      <c r="B23" s="11" t="s">
        <v>79</v>
      </c>
      <c r="C23" s="29" t="s">
        <v>80</v>
      </c>
      <c r="D23" s="11" t="s">
        <v>119</v>
      </c>
      <c r="E23" s="30" t="s">
        <v>122</v>
      </c>
      <c r="F23" s="31" t="n">
        <v>30</v>
      </c>
      <c r="G23" s="32" t="s">
        <v>2</v>
      </c>
      <c r="H23" s="11"/>
    </row>
    <row r="24" customFormat="false" ht="27.75" hidden="false" customHeight="true" outlineLevel="0" collapsed="false">
      <c r="A24" s="12" t="n">
        <v>18</v>
      </c>
      <c r="B24" s="11" t="s">
        <v>79</v>
      </c>
      <c r="C24" s="29" t="s">
        <v>80</v>
      </c>
      <c r="D24" s="11" t="s">
        <v>119</v>
      </c>
      <c r="E24" s="30" t="s">
        <v>123</v>
      </c>
      <c r="F24" s="31" t="n">
        <v>30</v>
      </c>
      <c r="G24" s="32" t="s">
        <v>2</v>
      </c>
      <c r="H24" s="11" t="s">
        <v>124</v>
      </c>
    </row>
    <row r="25" customFormat="false" ht="15" hidden="false" customHeight="true" outlineLevel="0" collapsed="false">
      <c r="A25" s="12" t="n">
        <v>19</v>
      </c>
      <c r="B25" s="11" t="s">
        <v>79</v>
      </c>
      <c r="C25" s="29" t="s">
        <v>85</v>
      </c>
      <c r="D25" s="11" t="s">
        <v>125</v>
      </c>
      <c r="E25" s="30" t="s">
        <v>126</v>
      </c>
      <c r="F25" s="31" t="n">
        <v>150</v>
      </c>
      <c r="G25" s="32" t="s">
        <v>2</v>
      </c>
      <c r="H25" s="11"/>
    </row>
    <row r="26" customFormat="false" ht="15" hidden="false" customHeight="true" outlineLevel="0" collapsed="false">
      <c r="A26" s="12" t="n">
        <v>20</v>
      </c>
      <c r="B26" s="11" t="s">
        <v>79</v>
      </c>
      <c r="C26" s="29" t="s">
        <v>89</v>
      </c>
      <c r="D26" s="11" t="s">
        <v>127</v>
      </c>
      <c r="E26" s="30" t="s">
        <v>128</v>
      </c>
      <c r="F26" s="31" t="n">
        <v>30</v>
      </c>
      <c r="G26" s="32" t="s">
        <v>2</v>
      </c>
      <c r="H26" s="11"/>
    </row>
    <row r="27" customFormat="false" ht="15" hidden="false" customHeight="true" outlineLevel="0" collapsed="false">
      <c r="A27" s="12" t="n">
        <v>21</v>
      </c>
      <c r="B27" s="11" t="s">
        <v>79</v>
      </c>
      <c r="C27" s="29" t="s">
        <v>129</v>
      </c>
      <c r="D27" s="11" t="s">
        <v>130</v>
      </c>
      <c r="E27" s="30" t="s">
        <v>131</v>
      </c>
      <c r="F27" s="31" t="n">
        <v>15</v>
      </c>
      <c r="G27" s="32" t="s">
        <v>2</v>
      </c>
      <c r="H27" s="11"/>
    </row>
    <row r="28" customFormat="false" ht="15" hidden="false" customHeight="true" outlineLevel="0" collapsed="false">
      <c r="A28" s="12" t="n">
        <v>22</v>
      </c>
      <c r="B28" s="11" t="s">
        <v>79</v>
      </c>
      <c r="C28" s="29" t="s">
        <v>132</v>
      </c>
      <c r="D28" s="11" t="s">
        <v>133</v>
      </c>
      <c r="E28" s="30" t="s">
        <v>134</v>
      </c>
      <c r="F28" s="31" t="n">
        <v>10</v>
      </c>
      <c r="G28" s="32" t="s">
        <v>2</v>
      </c>
      <c r="H28" s="11"/>
    </row>
    <row r="29" customFormat="false" ht="27.75" hidden="false" customHeight="true" outlineLevel="0" collapsed="false">
      <c r="A29" s="12" t="n">
        <v>23</v>
      </c>
      <c r="B29" s="11" t="s">
        <v>79</v>
      </c>
      <c r="C29" s="29" t="s">
        <v>70</v>
      </c>
      <c r="D29" s="11" t="s">
        <v>135</v>
      </c>
      <c r="E29" s="30" t="s">
        <v>136</v>
      </c>
      <c r="F29" s="31" t="n">
        <v>40</v>
      </c>
      <c r="G29" s="32" t="s">
        <v>2</v>
      </c>
      <c r="H29" s="11"/>
    </row>
    <row r="30" customFormat="false" ht="15" hidden="false" customHeight="true" outlineLevel="0" collapsed="false">
      <c r="E30" s="33" t="s">
        <v>94</v>
      </c>
      <c r="F30" s="34" t="n">
        <f aca="false">SUM($F$7:$F$29)</f>
        <v>995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9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false" showRowColHeaders="true" showZeros="true" rightToLeft="false" tabSelected="false" showOutlineSymbols="true" defaultGridColor="true" view="normal" topLeftCell="C1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137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138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21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"&amp;COUNTIF($G$7:$G$26,"Terminé")&amp;"/"&amp;COUNT($A$7:$A$26)&amp;" fonctions · "&amp;TEXT(IFERROR((SUMIF($G$7:$G$26,"Terminé",$F$7:$F$26)+0.5*SUMIF($G$7:$G$26,"En cours",$F$7:$F$26))/SUM($F$7:$F$26),0),"0%")&amp;"   ·   Durée totale estimée : "&amp;TEXT(SUM($F$7:$F$26)/60,"0.0")&amp;" h"&amp;"   ·   Heures faites : "&amp;TEXT((SUMIF($G$7:$G$26,"Terminé",$F$7:$F$26)+0.5*SUMIF($G$7:$G$26,"En cours",$F$7:$F$26))/60,"0.0")&amp;" h"&amp;"   ·   Heures restantes : "&amp;TEXT((SUMIF($G$7:$G$26,"Pas fini",$F$7:$F$26)+0.5*SUMIF($G$7:$G$26,"En cours",$F$7:$F$26))/60,"0.0")&amp;" h"</f>
        <v>Avancement : 20/20 fonctions · 100%   ·   Durée totale estimée : 23,3 h   ·   Heures faites : 23,3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1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139</v>
      </c>
      <c r="E7" s="30" t="s">
        <v>140</v>
      </c>
      <c r="F7" s="31" t="n">
        <v>30</v>
      </c>
      <c r="G7" s="32" t="s">
        <v>2</v>
      </c>
      <c r="H7" s="11"/>
    </row>
    <row r="8" customFormat="false" ht="1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139</v>
      </c>
      <c r="E8" s="30" t="s">
        <v>141</v>
      </c>
      <c r="F8" s="31" t="n">
        <v>30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139</v>
      </c>
      <c r="E9" s="30" t="s">
        <v>142</v>
      </c>
      <c r="F9" s="31" t="n">
        <v>30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80</v>
      </c>
      <c r="D10" s="11" t="s">
        <v>139</v>
      </c>
      <c r="E10" s="30" t="s">
        <v>143</v>
      </c>
      <c r="F10" s="31" t="n">
        <v>30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80</v>
      </c>
      <c r="D11" s="11" t="s">
        <v>139</v>
      </c>
      <c r="E11" s="30" t="s">
        <v>144</v>
      </c>
      <c r="F11" s="31" t="n">
        <v>30</v>
      </c>
      <c r="G11" s="32" t="s">
        <v>2</v>
      </c>
      <c r="H11" s="11"/>
    </row>
    <row r="12" customFormat="false" ht="32.2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145</v>
      </c>
      <c r="E12" s="30" t="s">
        <v>146</v>
      </c>
      <c r="F12" s="31" t="n">
        <v>240</v>
      </c>
      <c r="G12" s="32" t="s">
        <v>2</v>
      </c>
      <c r="H12" s="11"/>
    </row>
    <row r="13" customFormat="false" ht="32.25" hidden="false" customHeight="true" outlineLevel="0" collapsed="false">
      <c r="A13" s="12" t="n">
        <v>7</v>
      </c>
      <c r="B13" s="28" t="s">
        <v>50</v>
      </c>
      <c r="C13" s="29" t="s">
        <v>89</v>
      </c>
      <c r="D13" s="11" t="s">
        <v>147</v>
      </c>
      <c r="E13" s="30" t="s">
        <v>148</v>
      </c>
      <c r="F13" s="31" t="n">
        <v>90</v>
      </c>
      <c r="G13" s="32" t="s">
        <v>2</v>
      </c>
      <c r="H13" s="11"/>
    </row>
    <row r="14" customFormat="false" ht="41.25" hidden="false" customHeight="true" outlineLevel="0" collapsed="false">
      <c r="A14" s="12" t="n">
        <v>8</v>
      </c>
      <c r="B14" s="28" t="s">
        <v>50</v>
      </c>
      <c r="C14" s="29" t="s">
        <v>114</v>
      </c>
      <c r="D14" s="11" t="s">
        <v>149</v>
      </c>
      <c r="E14" s="30" t="s">
        <v>150</v>
      </c>
      <c r="F14" s="31" t="n">
        <v>75</v>
      </c>
      <c r="G14" s="32" t="s">
        <v>2</v>
      </c>
      <c r="H14" s="11"/>
    </row>
    <row r="15" customFormat="false" ht="15" hidden="false" customHeight="true" outlineLevel="0" collapsed="false">
      <c r="A15" s="12" t="n">
        <v>9</v>
      </c>
      <c r="B15" s="28" t="s">
        <v>50</v>
      </c>
      <c r="C15" s="29" t="s">
        <v>70</v>
      </c>
      <c r="D15" s="11" t="s">
        <v>151</v>
      </c>
      <c r="E15" s="30" t="s">
        <v>152</v>
      </c>
      <c r="F15" s="31" t="n">
        <v>60</v>
      </c>
      <c r="G15" s="32" t="s">
        <v>2</v>
      </c>
      <c r="H15" s="11"/>
    </row>
    <row r="16" customFormat="false" ht="21.75" hidden="false" customHeight="true" outlineLevel="0" collapsed="false">
      <c r="A16" s="12" t="n">
        <v>10</v>
      </c>
      <c r="B16" s="28" t="s">
        <v>50</v>
      </c>
      <c r="C16" s="29" t="s">
        <v>80</v>
      </c>
      <c r="D16" s="11" t="s">
        <v>153</v>
      </c>
      <c r="E16" s="30" t="s">
        <v>154</v>
      </c>
      <c r="F16" s="31" t="n">
        <v>30</v>
      </c>
      <c r="G16" s="32" t="s">
        <v>2</v>
      </c>
      <c r="H16" s="11"/>
    </row>
    <row r="17" customFormat="false" ht="21.75" hidden="false" customHeight="true" outlineLevel="0" collapsed="false">
      <c r="A17" s="12" t="n">
        <v>11</v>
      </c>
      <c r="B17" s="28" t="s">
        <v>50</v>
      </c>
      <c r="C17" s="29" t="s">
        <v>80</v>
      </c>
      <c r="D17" s="11" t="s">
        <v>153</v>
      </c>
      <c r="E17" s="30" t="s">
        <v>155</v>
      </c>
      <c r="F17" s="31" t="n">
        <v>30</v>
      </c>
      <c r="G17" s="32" t="s">
        <v>2</v>
      </c>
      <c r="H17" s="11"/>
    </row>
    <row r="18" customFormat="false" ht="32.25" hidden="false" customHeight="true" outlineLevel="0" collapsed="false">
      <c r="A18" s="12" t="n">
        <v>12</v>
      </c>
      <c r="B18" s="28" t="s">
        <v>50</v>
      </c>
      <c r="C18" s="29" t="s">
        <v>85</v>
      </c>
      <c r="D18" s="11" t="s">
        <v>156</v>
      </c>
      <c r="E18" s="30" t="s">
        <v>157</v>
      </c>
      <c r="F18" s="31" t="n">
        <v>150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89</v>
      </c>
      <c r="D19" s="11" t="s">
        <v>158</v>
      </c>
      <c r="E19" s="30" t="s">
        <v>159</v>
      </c>
      <c r="F19" s="31" t="n">
        <v>15</v>
      </c>
      <c r="G19" s="32" t="s">
        <v>2</v>
      </c>
      <c r="H19" s="11"/>
    </row>
    <row r="20" customFormat="false" ht="41.25" hidden="false" customHeight="true" outlineLevel="0" collapsed="false">
      <c r="A20" s="12" t="n">
        <v>14</v>
      </c>
      <c r="B20" s="28" t="s">
        <v>50</v>
      </c>
      <c r="C20" s="29" t="s">
        <v>160</v>
      </c>
      <c r="D20" s="11" t="s">
        <v>161</v>
      </c>
      <c r="E20" s="30" t="s">
        <v>162</v>
      </c>
      <c r="F20" s="31" t="n">
        <v>45</v>
      </c>
      <c r="G20" s="32" t="s">
        <v>2</v>
      </c>
      <c r="H20" s="11"/>
    </row>
    <row r="21" customFormat="false" ht="32.25" hidden="false" customHeight="true" outlineLevel="0" collapsed="false">
      <c r="A21" s="12" t="n">
        <v>15</v>
      </c>
      <c r="B21" s="11" t="s">
        <v>79</v>
      </c>
      <c r="C21" s="29" t="s">
        <v>80</v>
      </c>
      <c r="D21" s="11" t="s">
        <v>163</v>
      </c>
      <c r="E21" s="30" t="s">
        <v>164</v>
      </c>
      <c r="F21" s="31" t="n">
        <v>180</v>
      </c>
      <c r="G21" s="32" t="s">
        <v>2</v>
      </c>
      <c r="H21" s="11" t="s">
        <v>165</v>
      </c>
    </row>
    <row r="22" customFormat="false" ht="21.7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166</v>
      </c>
      <c r="E22" s="30" t="s">
        <v>167</v>
      </c>
      <c r="F22" s="31" t="n">
        <v>180</v>
      </c>
      <c r="G22" s="32" t="s">
        <v>2</v>
      </c>
      <c r="H22" s="11" t="s">
        <v>165</v>
      </c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168</v>
      </c>
      <c r="E23" s="30" t="s">
        <v>169</v>
      </c>
      <c r="F23" s="31" t="n">
        <v>45</v>
      </c>
      <c r="G23" s="32" t="s">
        <v>2</v>
      </c>
      <c r="H23" s="11" t="s">
        <v>170</v>
      </c>
    </row>
    <row r="24" customFormat="false" ht="15" hidden="false" customHeight="true" outlineLevel="0" collapsed="false">
      <c r="A24" s="12" t="n">
        <v>18</v>
      </c>
      <c r="B24" s="11" t="s">
        <v>79</v>
      </c>
      <c r="C24" s="29" t="s">
        <v>129</v>
      </c>
      <c r="D24" s="11" t="s">
        <v>171</v>
      </c>
      <c r="E24" s="30" t="s">
        <v>172</v>
      </c>
      <c r="F24" s="31" t="n">
        <v>30</v>
      </c>
      <c r="G24" s="32" t="s">
        <v>2</v>
      </c>
      <c r="H24" s="11" t="s">
        <v>173</v>
      </c>
    </row>
    <row r="25" customFormat="false" ht="15" hidden="false" customHeight="true" outlineLevel="0" collapsed="false">
      <c r="A25" s="12" t="n">
        <v>19</v>
      </c>
      <c r="B25" s="11" t="s">
        <v>79</v>
      </c>
      <c r="C25" s="29" t="s">
        <v>132</v>
      </c>
      <c r="D25" s="11" t="s">
        <v>174</v>
      </c>
      <c r="E25" s="30" t="s">
        <v>175</v>
      </c>
      <c r="F25" s="31" t="n">
        <v>20</v>
      </c>
      <c r="G25" s="32" t="s">
        <v>2</v>
      </c>
      <c r="H25" s="11" t="s">
        <v>176</v>
      </c>
    </row>
    <row r="26" customFormat="false" ht="27.75" hidden="false" customHeight="true" outlineLevel="0" collapsed="false">
      <c r="A26" s="12" t="n">
        <v>20</v>
      </c>
      <c r="B26" s="11" t="s">
        <v>79</v>
      </c>
      <c r="C26" s="29" t="s">
        <v>70</v>
      </c>
      <c r="D26" s="11" t="s">
        <v>177</v>
      </c>
      <c r="E26" s="30" t="s">
        <v>178</v>
      </c>
      <c r="F26" s="31" t="n">
        <v>60</v>
      </c>
      <c r="G26" s="32" t="s">
        <v>2</v>
      </c>
      <c r="H26" s="11"/>
    </row>
    <row r="27" customFormat="false" ht="15" hidden="false" customHeight="true" outlineLevel="0" collapsed="false">
      <c r="E27" s="33" t="s">
        <v>94</v>
      </c>
      <c r="F27" s="34" t="n">
        <f aca="false">SUM($F$7:$F$26)</f>
        <v>1400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6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22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179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24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"&amp;COUNTIF($G$7:$G$19,"Terminé")&amp;"/"&amp;COUNT($A$7:$A$19)&amp;" fonctions · "&amp;TEXT(IFERROR((SUMIF($G$7:$G$19,"Terminé",$F$7:$F$19)+0.5*SUMIF($G$7:$G$19,"En cours",$F$7:$F$19))/SUM($F$7:$F$19),0),"0%")&amp;"   ·   Durée totale estimée : "&amp;TEXT(SUM($F$7:$F$19)/60,"0.0")&amp;" h"&amp;"   ·   Heures faites : "&amp;TEXT((SUMIF($G$7:$G$19,"Terminé",$F$7:$F$19)+0.5*SUMIF($G$7:$G$19,"En cours",$F$7:$F$19))/60,"0.0")&amp;" h"&amp;"   ·   Heures restantes : "&amp;TEXT((SUMIF($G$7:$G$19,"Pas fini",$F$7:$F$19)+0.5*SUMIF($G$7:$G$19,"En cours",$F$7:$F$19))/60,"0.0")&amp;" h"</f>
        <v>Avancement : 13/13 fonctions · 100%   ·   Durée totale estimée : 12,5 h   ·   Heures faites : 12,5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1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180</v>
      </c>
      <c r="E7" s="30" t="s">
        <v>181</v>
      </c>
      <c r="F7" s="31" t="n">
        <v>30</v>
      </c>
      <c r="G7" s="32" t="s">
        <v>2</v>
      </c>
      <c r="H7" s="11"/>
    </row>
    <row r="8" customFormat="false" ht="21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180</v>
      </c>
      <c r="E8" s="30" t="s">
        <v>182</v>
      </c>
      <c r="F8" s="31" t="n">
        <v>30</v>
      </c>
      <c r="G8" s="32" t="s">
        <v>2</v>
      </c>
      <c r="H8" s="11"/>
    </row>
    <row r="9" customFormat="false" ht="21.75" hidden="false" customHeight="true" outlineLevel="0" collapsed="false">
      <c r="A9" s="12" t="n">
        <v>3</v>
      </c>
      <c r="B9" s="28" t="s">
        <v>50</v>
      </c>
      <c r="C9" s="29" t="s">
        <v>85</v>
      </c>
      <c r="D9" s="11" t="s">
        <v>183</v>
      </c>
      <c r="E9" s="30" t="s">
        <v>184</v>
      </c>
      <c r="F9" s="31" t="n">
        <v>90</v>
      </c>
      <c r="G9" s="32" t="s">
        <v>2</v>
      </c>
      <c r="H9" s="11"/>
    </row>
    <row r="10" customFormat="false" ht="15" hidden="false" customHeight="true" outlineLevel="0" collapsed="false">
      <c r="A10" s="12" t="n">
        <v>4</v>
      </c>
      <c r="B10" s="28" t="s">
        <v>50</v>
      </c>
      <c r="C10" s="29" t="s">
        <v>89</v>
      </c>
      <c r="D10" s="11" t="s">
        <v>185</v>
      </c>
      <c r="E10" s="30" t="s">
        <v>186</v>
      </c>
      <c r="F10" s="31" t="n">
        <v>15</v>
      </c>
      <c r="G10" s="32" t="s">
        <v>2</v>
      </c>
      <c r="H10" s="11"/>
    </row>
    <row r="11" customFormat="false" ht="27.75" hidden="false" customHeight="true" outlineLevel="0" collapsed="false">
      <c r="A11" s="12" t="n">
        <v>5</v>
      </c>
      <c r="B11" s="28" t="s">
        <v>50</v>
      </c>
      <c r="C11" s="29" t="s">
        <v>160</v>
      </c>
      <c r="D11" s="11" t="s">
        <v>187</v>
      </c>
      <c r="E11" s="30" t="s">
        <v>188</v>
      </c>
      <c r="F11" s="31" t="n">
        <v>45</v>
      </c>
      <c r="G11" s="32" t="s">
        <v>2</v>
      </c>
      <c r="H11" s="11"/>
    </row>
    <row r="12" customFormat="false" ht="15" hidden="false" customHeight="true" outlineLevel="0" collapsed="false">
      <c r="A12" s="12" t="n">
        <v>6</v>
      </c>
      <c r="B12" s="28" t="s">
        <v>50</v>
      </c>
      <c r="C12" s="29" t="s">
        <v>80</v>
      </c>
      <c r="D12" s="11" t="s">
        <v>189</v>
      </c>
      <c r="E12" s="30" t="s">
        <v>190</v>
      </c>
      <c r="F12" s="31" t="n">
        <v>90</v>
      </c>
      <c r="G12" s="32" t="s">
        <v>2</v>
      </c>
      <c r="H12" s="11"/>
    </row>
    <row r="13" customFormat="false" ht="21.75" hidden="false" customHeight="true" outlineLevel="0" collapsed="false">
      <c r="A13" s="12" t="n">
        <v>7</v>
      </c>
      <c r="B13" s="28" t="s">
        <v>50</v>
      </c>
      <c r="C13" s="29" t="s">
        <v>80</v>
      </c>
      <c r="D13" s="11" t="s">
        <v>191</v>
      </c>
      <c r="E13" s="30" t="s">
        <v>192</v>
      </c>
      <c r="F13" s="31" t="n">
        <v>90</v>
      </c>
      <c r="G13" s="32" t="s">
        <v>2</v>
      </c>
      <c r="H13" s="11"/>
    </row>
    <row r="14" customFormat="false" ht="21.75" hidden="false" customHeight="true" outlineLevel="0" collapsed="false">
      <c r="A14" s="12" t="n">
        <v>8</v>
      </c>
      <c r="B14" s="28" t="s">
        <v>50</v>
      </c>
      <c r="C14" s="29" t="s">
        <v>80</v>
      </c>
      <c r="D14" s="11" t="s">
        <v>193</v>
      </c>
      <c r="E14" s="30" t="s">
        <v>194</v>
      </c>
      <c r="F14" s="31" t="n">
        <v>90</v>
      </c>
      <c r="G14" s="32" t="s">
        <v>2</v>
      </c>
      <c r="H14" s="11"/>
    </row>
    <row r="15" customFormat="false" ht="41.2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195</v>
      </c>
      <c r="E15" s="30" t="s">
        <v>196</v>
      </c>
      <c r="F15" s="31" t="n">
        <v>30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89</v>
      </c>
      <c r="D16" s="11" t="s">
        <v>197</v>
      </c>
      <c r="E16" s="30" t="s">
        <v>198</v>
      </c>
      <c r="F16" s="31" t="n">
        <v>15</v>
      </c>
      <c r="G16" s="32" t="s">
        <v>2</v>
      </c>
      <c r="H16" s="11"/>
    </row>
    <row r="17" customFormat="false" ht="27.75" hidden="false" customHeight="true" outlineLevel="0" collapsed="false">
      <c r="A17" s="12" t="n">
        <v>11</v>
      </c>
      <c r="B17" s="28" t="s">
        <v>50</v>
      </c>
      <c r="C17" s="29" t="s">
        <v>129</v>
      </c>
      <c r="D17" s="11" t="s">
        <v>199</v>
      </c>
      <c r="E17" s="30" t="s">
        <v>200</v>
      </c>
      <c r="F17" s="31" t="n">
        <v>75</v>
      </c>
      <c r="G17" s="32" t="s">
        <v>2</v>
      </c>
      <c r="H17" s="11"/>
    </row>
    <row r="18" customFormat="false" ht="27.75" hidden="false" customHeight="true" outlineLevel="0" collapsed="false">
      <c r="A18" s="12" t="n">
        <v>12</v>
      </c>
      <c r="B18" s="28" t="s">
        <v>50</v>
      </c>
      <c r="C18" s="29" t="s">
        <v>132</v>
      </c>
      <c r="D18" s="11" t="s">
        <v>201</v>
      </c>
      <c r="E18" s="30" t="s">
        <v>202</v>
      </c>
      <c r="F18" s="31" t="n">
        <v>30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70</v>
      </c>
      <c r="D19" s="11" t="s">
        <v>203</v>
      </c>
      <c r="E19" s="30" t="s">
        <v>204</v>
      </c>
      <c r="F19" s="31" t="n">
        <v>120</v>
      </c>
      <c r="G19" s="32" t="s">
        <v>2</v>
      </c>
      <c r="H19" s="11"/>
    </row>
    <row r="20" customFormat="false" ht="15" hidden="false" customHeight="true" outlineLevel="0" collapsed="false">
      <c r="E20" s="33" t="s">
        <v>94</v>
      </c>
      <c r="F20" s="34" t="n">
        <f aca="false">SUM($F$7:$F$19)</f>
        <v>750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19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C11" colorId="64" zoomScale="100" zoomScaleNormal="100" zoomScalePageLayoutView="100" workbookViewId="0">
      <selection pane="topLeft" activeCell="K19" activeCellId="0" sqref="K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25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205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27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"&amp;COUNTIF($G$7:$G$24,"Terminé")&amp;"/"&amp;COUNT($A$7:$A$24)&amp;" fonctions · "&amp;TEXT(IFERROR((SUMIF($G$7:$G$24,"Terminé",$F$7:$F$24)+0.5*SUMIF($G$7:$G$24,"En cours",$F$7:$F$24))/SUM($F$7:$F$24),0),"0%")&amp;"   ·   Durée totale estimée : "&amp;TEXT(SUM($F$7:$F$24)/60,"0.0")&amp;" h"&amp;"   ·   Heures faites : "&amp;TEXT((SUMIF($G$7:$G$24,"Terminé",$F$7:$F$24)+0.5*SUMIF($G$7:$G$24,"En cours",$F$7:$F$24))/60,"0.0")&amp;" h"&amp;"   ·   Heures restantes : "&amp;TEXT((SUMIF($G$7:$G$24,"Pas fini",$F$7:$F$24)+0.5*SUMIF($G$7:$G$24,"En cours",$F$7:$F$24))/60,"0.0")&amp;" h"</f>
        <v>Avancement : 18/18 fonctions · 100%   ·   Durée totale estimée : 16,5 h   ·   Heures faites : 16,5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7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206</v>
      </c>
      <c r="E7" s="30" t="s">
        <v>207</v>
      </c>
      <c r="F7" s="31" t="n">
        <v>30</v>
      </c>
      <c r="G7" s="32" t="s">
        <v>2</v>
      </c>
      <c r="H7" s="11"/>
    </row>
    <row r="8" customFormat="false" ht="27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206</v>
      </c>
      <c r="E8" s="30" t="s">
        <v>208</v>
      </c>
      <c r="F8" s="31" t="n">
        <v>30</v>
      </c>
      <c r="G8" s="32" t="s">
        <v>2</v>
      </c>
      <c r="H8" s="11"/>
    </row>
    <row r="9" customFormat="false" ht="27.7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206</v>
      </c>
      <c r="E9" s="30" t="s">
        <v>209</v>
      </c>
      <c r="F9" s="31" t="n">
        <v>30</v>
      </c>
      <c r="G9" s="32" t="s">
        <v>2</v>
      </c>
      <c r="H9" s="11"/>
    </row>
    <row r="10" customFormat="false" ht="27.75" hidden="false" customHeight="true" outlineLevel="0" collapsed="false">
      <c r="A10" s="12" t="n">
        <v>4</v>
      </c>
      <c r="B10" s="28" t="s">
        <v>50</v>
      </c>
      <c r="C10" s="29" t="s">
        <v>85</v>
      </c>
      <c r="D10" s="11" t="s">
        <v>210</v>
      </c>
      <c r="E10" s="30" t="s">
        <v>211</v>
      </c>
      <c r="F10" s="31" t="n">
        <v>30</v>
      </c>
      <c r="G10" s="32" t="s">
        <v>2</v>
      </c>
      <c r="H10" s="11"/>
    </row>
    <row r="11" customFormat="false" ht="27.7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210</v>
      </c>
      <c r="E11" s="30" t="s">
        <v>212</v>
      </c>
      <c r="F11" s="31" t="n">
        <v>30</v>
      </c>
      <c r="G11" s="32" t="s">
        <v>2</v>
      </c>
      <c r="H11" s="11"/>
    </row>
    <row r="12" customFormat="false" ht="27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210</v>
      </c>
      <c r="E12" s="30" t="s">
        <v>213</v>
      </c>
      <c r="F12" s="31" t="n">
        <v>30</v>
      </c>
      <c r="G12" s="32" t="s">
        <v>2</v>
      </c>
      <c r="H12" s="11"/>
    </row>
    <row r="13" customFormat="false" ht="27.75" hidden="false" customHeight="true" outlineLevel="0" collapsed="false">
      <c r="A13" s="12" t="n">
        <v>7</v>
      </c>
      <c r="B13" s="28" t="s">
        <v>50</v>
      </c>
      <c r="C13" s="29" t="s">
        <v>85</v>
      </c>
      <c r="D13" s="11" t="s">
        <v>210</v>
      </c>
      <c r="E13" s="30" t="s">
        <v>214</v>
      </c>
      <c r="F13" s="31" t="n">
        <v>90</v>
      </c>
      <c r="G13" s="32" t="s">
        <v>2</v>
      </c>
      <c r="H13" s="11"/>
    </row>
    <row r="14" customFormat="false" ht="27.7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210</v>
      </c>
      <c r="E14" s="30" t="s">
        <v>215</v>
      </c>
      <c r="F14" s="31" t="n">
        <v>30</v>
      </c>
      <c r="G14" s="32" t="s">
        <v>2</v>
      </c>
      <c r="H14" s="11"/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216</v>
      </c>
      <c r="E15" s="30" t="s">
        <v>217</v>
      </c>
      <c r="F15" s="31" t="n">
        <v>90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89</v>
      </c>
      <c r="D16" s="11" t="s">
        <v>218</v>
      </c>
      <c r="E16" s="30" t="s">
        <v>219</v>
      </c>
      <c r="F16" s="31" t="n">
        <v>45</v>
      </c>
      <c r="G16" s="32" t="s">
        <v>2</v>
      </c>
      <c r="H16" s="11"/>
    </row>
    <row r="17" customFormat="false" ht="41.25" hidden="false" customHeight="true" outlineLevel="0" collapsed="false">
      <c r="A17" s="12" t="n">
        <v>11</v>
      </c>
      <c r="B17" s="28" t="s">
        <v>50</v>
      </c>
      <c r="C17" s="29" t="s">
        <v>89</v>
      </c>
      <c r="D17" s="11" t="s">
        <v>220</v>
      </c>
      <c r="E17" s="30" t="s">
        <v>221</v>
      </c>
      <c r="F17" s="31" t="n">
        <v>15</v>
      </c>
      <c r="G17" s="32" t="s">
        <v>2</v>
      </c>
      <c r="H17" s="11"/>
    </row>
    <row r="18" customFormat="false" ht="68.25" hidden="false" customHeight="true" outlineLevel="0" collapsed="false">
      <c r="A18" s="12" t="n">
        <v>12</v>
      </c>
      <c r="B18" s="28" t="s">
        <v>50</v>
      </c>
      <c r="C18" s="29" t="s">
        <v>160</v>
      </c>
      <c r="D18" s="11" t="s">
        <v>222</v>
      </c>
      <c r="E18" s="30" t="s">
        <v>223</v>
      </c>
      <c r="F18" s="31" t="n">
        <v>90</v>
      </c>
      <c r="G18" s="32" t="s">
        <v>2</v>
      </c>
      <c r="H18" s="11"/>
    </row>
    <row r="19" customFormat="false" ht="21.75" hidden="false" customHeight="true" outlineLevel="0" collapsed="false">
      <c r="A19" s="12" t="n">
        <v>13</v>
      </c>
      <c r="B19" s="11" t="s">
        <v>79</v>
      </c>
      <c r="C19" s="29" t="s">
        <v>80</v>
      </c>
      <c r="D19" s="11" t="s">
        <v>224</v>
      </c>
      <c r="E19" s="30" t="s">
        <v>225</v>
      </c>
      <c r="F19" s="31" t="n">
        <v>180</v>
      </c>
      <c r="G19" s="32" t="s">
        <v>2</v>
      </c>
      <c r="H19" s="11"/>
    </row>
    <row r="20" customFormat="false" ht="32.25" hidden="false" customHeight="true" outlineLevel="0" collapsed="false">
      <c r="A20" s="12" t="n">
        <v>14</v>
      </c>
      <c r="B20" s="11" t="s">
        <v>79</v>
      </c>
      <c r="C20" s="29" t="s">
        <v>85</v>
      </c>
      <c r="D20" s="11" t="s">
        <v>226</v>
      </c>
      <c r="E20" s="30" t="s">
        <v>227</v>
      </c>
      <c r="F20" s="31" t="n">
        <v>150</v>
      </c>
      <c r="G20" s="32" t="s">
        <v>2</v>
      </c>
      <c r="H20" s="11"/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89</v>
      </c>
      <c r="D21" s="11" t="s">
        <v>228</v>
      </c>
      <c r="E21" s="30" t="s">
        <v>229</v>
      </c>
      <c r="F21" s="31" t="n">
        <v>45</v>
      </c>
      <c r="G21" s="32" t="s">
        <v>2</v>
      </c>
      <c r="H21" s="11"/>
    </row>
    <row r="22" customFormat="false" ht="15" hidden="false" customHeight="true" outlineLevel="0" collapsed="false">
      <c r="A22" s="12" t="n">
        <v>16</v>
      </c>
      <c r="B22" s="11" t="s">
        <v>79</v>
      </c>
      <c r="C22" s="29" t="s">
        <v>129</v>
      </c>
      <c r="D22" s="11" t="s">
        <v>230</v>
      </c>
      <c r="E22" s="30" t="s">
        <v>231</v>
      </c>
      <c r="F22" s="31" t="n">
        <v>15</v>
      </c>
      <c r="G22" s="32" t="s">
        <v>2</v>
      </c>
      <c r="H22" s="11"/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132</v>
      </c>
      <c r="D23" s="11" t="s">
        <v>232</v>
      </c>
      <c r="E23" s="30" t="s">
        <v>233</v>
      </c>
      <c r="F23" s="31" t="n">
        <v>20</v>
      </c>
      <c r="G23" s="32" t="s">
        <v>2</v>
      </c>
      <c r="H23" s="11"/>
    </row>
    <row r="24" customFormat="false" ht="15" hidden="false" customHeight="true" outlineLevel="0" collapsed="false">
      <c r="A24" s="12" t="n">
        <v>18</v>
      </c>
      <c r="B24" s="11" t="s">
        <v>79</v>
      </c>
      <c r="C24" s="29" t="s">
        <v>70</v>
      </c>
      <c r="D24" s="11" t="s">
        <v>234</v>
      </c>
      <c r="E24" s="30" t="s">
        <v>235</v>
      </c>
      <c r="F24" s="31" t="n">
        <v>40</v>
      </c>
      <c r="G24" s="32" t="s">
        <v>2</v>
      </c>
      <c r="H24" s="11"/>
    </row>
    <row r="25" customFormat="false" ht="15" hidden="false" customHeight="true" outlineLevel="0" collapsed="false">
      <c r="E25" s="33" t="s">
        <v>94</v>
      </c>
      <c r="F25" s="34" t="n">
        <f aca="false">SUM($F$7:$F$24)</f>
        <v>990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4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false" showOutlineSymbols="true" defaultGridColor="true" view="normal" topLeftCell="D19" colorId="64" zoomScale="100" zoomScaleNormal="100" zoomScalePageLayoutView="100" workbookViewId="0">
      <selection pane="topLeft" activeCell="E45" activeCellId="0" sqref="E4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28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236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30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"&amp;COUNTIF($G$7:$G$27,"Terminé")&amp;"/"&amp;COUNT($A$7:$A$27)&amp;" fonctions · "&amp;TEXT(IFERROR((SUMIF($G$7:$G$27,"Terminé",$F$7:$F$27)+0.5*SUMIF($G$7:$G$27,"En cours",$F$7:$F$27))/SUM($F$7:$F$27),0),"0%")&amp;"   ·   Durée totale estimée : "&amp;TEXT(SUM($F$7:$F$27)/60,"0.0")&amp;" h"&amp;"   ·   Heures faites : "&amp;TEXT((SUMIF($G$7:$G$27,"Terminé",$F$7:$F$27)+0.5*SUMIF($G$7:$G$27,"En cours",$F$7:$F$27))/60,"0.0")&amp;" h"&amp;"   ·   Heures restantes : "&amp;TEXT((SUMIF($G$7:$G$27,"Pas fini",$F$7:$F$27)+0.5*SUMIF($G$7:$G$27,"En cours",$F$7:$F$27))/60,"0.0")&amp;" h"</f>
        <v>Avancement : 21/21 fonctions · 100%   ·   Durée totale estimée : 12,7 h   ·   Heures faites : 12,7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7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206</v>
      </c>
      <c r="E7" s="30" t="s">
        <v>237</v>
      </c>
      <c r="F7" s="31" t="n">
        <v>30</v>
      </c>
      <c r="G7" s="32" t="s">
        <v>2</v>
      </c>
      <c r="H7" s="11"/>
    </row>
    <row r="8" customFormat="false" ht="27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206</v>
      </c>
      <c r="E8" s="30" t="s">
        <v>238</v>
      </c>
      <c r="F8" s="31" t="n">
        <v>30</v>
      </c>
      <c r="G8" s="32" t="s">
        <v>2</v>
      </c>
      <c r="H8" s="11" t="e">
        <f aca="false">#ERR520!</f>
        <v>#N/A</v>
      </c>
    </row>
    <row r="9" customFormat="false" ht="27.75" hidden="false" customHeight="true" outlineLevel="0" collapsed="false">
      <c r="A9" s="12" t="n">
        <v>3</v>
      </c>
      <c r="B9" s="28" t="s">
        <v>50</v>
      </c>
      <c r="C9" s="29" t="s">
        <v>80</v>
      </c>
      <c r="D9" s="11" t="s">
        <v>206</v>
      </c>
      <c r="E9" s="30" t="s">
        <v>239</v>
      </c>
      <c r="F9" s="31" t="n">
        <v>30</v>
      </c>
      <c r="G9" s="32" t="s">
        <v>2</v>
      </c>
      <c r="H9" s="11"/>
    </row>
    <row r="10" customFormat="false" ht="27.75" hidden="false" customHeight="true" outlineLevel="0" collapsed="false">
      <c r="A10" s="12" t="n">
        <v>4</v>
      </c>
      <c r="B10" s="28" t="s">
        <v>50</v>
      </c>
      <c r="C10" s="29" t="s">
        <v>80</v>
      </c>
      <c r="D10" s="11" t="s">
        <v>206</v>
      </c>
      <c r="E10" s="30" t="s">
        <v>240</v>
      </c>
      <c r="F10" s="31" t="n">
        <v>30</v>
      </c>
      <c r="G10" s="32" t="s">
        <v>2</v>
      </c>
      <c r="H10" s="11" t="s">
        <v>241</v>
      </c>
    </row>
    <row r="11" customFormat="false" ht="27.7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242</v>
      </c>
      <c r="E11" s="30" t="s">
        <v>243</v>
      </c>
      <c r="F11" s="31" t="n">
        <v>30</v>
      </c>
      <c r="G11" s="32" t="s">
        <v>2</v>
      </c>
      <c r="H11" s="11"/>
    </row>
    <row r="12" customFormat="false" ht="27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242</v>
      </c>
      <c r="E12" s="30" t="s">
        <v>244</v>
      </c>
      <c r="F12" s="31" t="n">
        <v>30</v>
      </c>
      <c r="G12" s="32" t="s">
        <v>2</v>
      </c>
      <c r="H12" s="11"/>
    </row>
    <row r="13" customFormat="false" ht="27.75" hidden="false" customHeight="true" outlineLevel="0" collapsed="false">
      <c r="A13" s="12" t="n">
        <v>7</v>
      </c>
      <c r="B13" s="28" t="s">
        <v>50</v>
      </c>
      <c r="C13" s="29" t="s">
        <v>85</v>
      </c>
      <c r="D13" s="11" t="s">
        <v>242</v>
      </c>
      <c r="E13" s="30" t="s">
        <v>245</v>
      </c>
      <c r="F13" s="31" t="n">
        <v>30</v>
      </c>
      <c r="G13" s="32" t="s">
        <v>2</v>
      </c>
      <c r="H13" s="11"/>
    </row>
    <row r="14" customFormat="false" ht="27.7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242</v>
      </c>
      <c r="E14" s="30" t="s">
        <v>246</v>
      </c>
      <c r="F14" s="31" t="n">
        <v>30</v>
      </c>
      <c r="G14" s="32" t="s">
        <v>2</v>
      </c>
      <c r="H14" s="11"/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242</v>
      </c>
      <c r="E15" s="30" t="s">
        <v>247</v>
      </c>
      <c r="F15" s="31" t="n">
        <v>30</v>
      </c>
      <c r="G15" s="32" t="s">
        <v>2</v>
      </c>
      <c r="H15" s="11" t="s">
        <v>248</v>
      </c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85</v>
      </c>
      <c r="D16" s="11" t="s">
        <v>242</v>
      </c>
      <c r="E16" s="30" t="s">
        <v>249</v>
      </c>
      <c r="F16" s="31" t="n">
        <v>30</v>
      </c>
      <c r="G16" s="32" t="s">
        <v>2</v>
      </c>
      <c r="H16" s="11" t="s">
        <v>248</v>
      </c>
    </row>
    <row r="17" customFormat="false" ht="41.25" hidden="false" customHeight="true" outlineLevel="0" collapsed="false">
      <c r="A17" s="12" t="n">
        <v>11</v>
      </c>
      <c r="B17" s="28" t="s">
        <v>50</v>
      </c>
      <c r="C17" s="29" t="s">
        <v>85</v>
      </c>
      <c r="D17" s="11" t="s">
        <v>242</v>
      </c>
      <c r="E17" s="30" t="s">
        <v>250</v>
      </c>
      <c r="F17" s="31" t="n">
        <v>30</v>
      </c>
      <c r="G17" s="32" t="s">
        <v>2</v>
      </c>
      <c r="H17" s="11" t="s">
        <v>251</v>
      </c>
    </row>
    <row r="18" customFormat="false" ht="27.75" hidden="false" customHeight="true" outlineLevel="0" collapsed="false">
      <c r="A18" s="12" t="n">
        <v>12</v>
      </c>
      <c r="B18" s="28" t="s">
        <v>50</v>
      </c>
      <c r="C18" s="29" t="s">
        <v>85</v>
      </c>
      <c r="D18" s="11" t="s">
        <v>242</v>
      </c>
      <c r="E18" s="30" t="s">
        <v>252</v>
      </c>
      <c r="F18" s="31" t="n">
        <v>30</v>
      </c>
      <c r="G18" s="32" t="s">
        <v>2</v>
      </c>
      <c r="H18" s="11" t="s">
        <v>241</v>
      </c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85</v>
      </c>
      <c r="D19" s="11" t="s">
        <v>253</v>
      </c>
      <c r="E19" s="30" t="s">
        <v>254</v>
      </c>
      <c r="F19" s="31" t="n">
        <v>30</v>
      </c>
      <c r="G19" s="32" t="s">
        <v>2</v>
      </c>
      <c r="H19" s="11" t="s">
        <v>255</v>
      </c>
    </row>
    <row r="20" customFormat="false" ht="15" hidden="false" customHeight="true" outlineLevel="0" collapsed="false">
      <c r="A20" s="12" t="n">
        <v>14</v>
      </c>
      <c r="B20" s="28" t="s">
        <v>50</v>
      </c>
      <c r="C20" s="29" t="s">
        <v>85</v>
      </c>
      <c r="D20" s="11" t="s">
        <v>253</v>
      </c>
      <c r="E20" s="30" t="s">
        <v>256</v>
      </c>
      <c r="F20" s="31" t="n">
        <v>30</v>
      </c>
      <c r="G20" s="32" t="s">
        <v>2</v>
      </c>
      <c r="H20" s="11" t="s">
        <v>241</v>
      </c>
    </row>
    <row r="21" customFormat="false" ht="27.75" hidden="false" customHeight="true" outlineLevel="0" collapsed="false">
      <c r="A21" s="12" t="n">
        <v>15</v>
      </c>
      <c r="B21" s="28" t="s">
        <v>50</v>
      </c>
      <c r="C21" s="29" t="s">
        <v>132</v>
      </c>
      <c r="D21" s="11" t="s">
        <v>257</v>
      </c>
      <c r="E21" s="30" t="s">
        <v>258</v>
      </c>
      <c r="F21" s="31" t="n">
        <v>20</v>
      </c>
      <c r="G21" s="32" t="s">
        <v>2</v>
      </c>
      <c r="H21" s="11"/>
    </row>
    <row r="22" customFormat="false" ht="27.75" hidden="false" customHeight="true" outlineLevel="0" collapsed="false">
      <c r="A22" s="12" t="n">
        <v>16</v>
      </c>
      <c r="B22" s="28" t="s">
        <v>50</v>
      </c>
      <c r="C22" s="29" t="s">
        <v>70</v>
      </c>
      <c r="D22" s="11" t="s">
        <v>259</v>
      </c>
      <c r="E22" s="30" t="s">
        <v>260</v>
      </c>
      <c r="F22" s="31" t="n">
        <v>40</v>
      </c>
      <c r="G22" s="32" t="s">
        <v>2</v>
      </c>
      <c r="H22" s="11"/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80</v>
      </c>
      <c r="D23" s="11" t="s">
        <v>261</v>
      </c>
      <c r="E23" s="30" t="s">
        <v>262</v>
      </c>
      <c r="F23" s="31" t="n">
        <v>30</v>
      </c>
      <c r="G23" s="32" t="s">
        <v>2</v>
      </c>
      <c r="H23" s="11" t="s">
        <v>263</v>
      </c>
    </row>
    <row r="24" customFormat="false" ht="32.25" hidden="false" customHeight="true" outlineLevel="0" collapsed="false">
      <c r="A24" s="12" t="n">
        <v>18</v>
      </c>
      <c r="B24" s="11" t="s">
        <v>79</v>
      </c>
      <c r="C24" s="29" t="s">
        <v>85</v>
      </c>
      <c r="D24" s="11" t="s">
        <v>264</v>
      </c>
      <c r="E24" s="30" t="s">
        <v>265</v>
      </c>
      <c r="F24" s="31" t="n">
        <v>210</v>
      </c>
      <c r="G24" s="32" t="s">
        <v>2</v>
      </c>
      <c r="H24" s="11" t="s">
        <v>266</v>
      </c>
    </row>
    <row r="25" customFormat="false" ht="15" hidden="false" customHeight="true" outlineLevel="0" collapsed="false">
      <c r="A25" s="12" t="n">
        <v>19</v>
      </c>
      <c r="B25" s="11" t="s">
        <v>79</v>
      </c>
      <c r="C25" s="29" t="s">
        <v>132</v>
      </c>
      <c r="D25" s="11" t="s">
        <v>267</v>
      </c>
      <c r="E25" s="30" t="s">
        <v>268</v>
      </c>
      <c r="F25" s="31" t="n">
        <v>10</v>
      </c>
      <c r="G25" s="32" t="s">
        <v>2</v>
      </c>
      <c r="H25" s="11" t="s">
        <v>269</v>
      </c>
    </row>
    <row r="26" customFormat="false" ht="21.75" hidden="false" customHeight="true" outlineLevel="0" collapsed="false">
      <c r="A26" s="12" t="n">
        <v>20</v>
      </c>
      <c r="B26" s="11" t="s">
        <v>79</v>
      </c>
      <c r="C26" s="29" t="s">
        <v>132</v>
      </c>
      <c r="D26" s="11" t="s">
        <v>270</v>
      </c>
      <c r="E26" s="30" t="s">
        <v>271</v>
      </c>
      <c r="F26" s="31" t="n">
        <v>10</v>
      </c>
      <c r="G26" s="32" t="s">
        <v>2</v>
      </c>
      <c r="H26" s="11" t="s">
        <v>272</v>
      </c>
    </row>
    <row r="27" customFormat="false" ht="15" hidden="false" customHeight="true" outlineLevel="0" collapsed="false">
      <c r="A27" s="12" t="n">
        <v>21</v>
      </c>
      <c r="B27" s="11" t="s">
        <v>79</v>
      </c>
      <c r="C27" s="29" t="s">
        <v>70</v>
      </c>
      <c r="D27" s="11" t="s">
        <v>273</v>
      </c>
      <c r="E27" s="30" t="s">
        <v>274</v>
      </c>
      <c r="F27" s="31" t="n">
        <v>20</v>
      </c>
      <c r="G27" s="32" t="s">
        <v>2</v>
      </c>
      <c r="H27" s="11" t="s">
        <v>275</v>
      </c>
    </row>
    <row r="28" customFormat="false" ht="15" hidden="false" customHeight="true" outlineLevel="0" collapsed="false">
      <c r="E28" s="33" t="s">
        <v>94</v>
      </c>
      <c r="F28" s="34" t="n">
        <f aca="false">SUM($F$7:$F$27)</f>
        <v>760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7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C2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31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276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33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"&amp;COUNTIF($G$7:$G$25,"Terminé")&amp;"/"&amp;COUNT($A$7:$A$25)&amp;" fonctions · "&amp;TEXT(IFERROR((SUMIF($G$7:$G$25,"Terminé",$F$7:$F$25)+0.5*SUMIF($G$7:$G$25,"En cours",$F$7:$F$25))/SUM($F$7:$F$25),0),"0%")&amp;"   ·   Durée totale estimée : "&amp;TEXT(SUM($F$7:$F$25)/60,"0.0")&amp;" h"&amp;"   ·   Heures faites : "&amp;TEXT((SUMIF($G$7:$G$25,"Terminé",$F$7:$F$25)+0.5*SUMIF($G$7:$G$25,"En cours",$F$7:$F$25))/60,"0.0")&amp;" h"&amp;"   ·   Heures restantes : "&amp;TEXT((SUMIF($G$7:$G$25,"Pas fini",$F$7:$F$25)+0.5*SUMIF($G$7:$G$25,"En cours",$F$7:$F$25))/60,"0.0")&amp;" h"</f>
        <v>Avancement : 19/19 fonctions · 100%   ·   Durée totale estimée : 14,0 h   ·   Heures faites : 14,0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7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277</v>
      </c>
      <c r="E7" s="30" t="s">
        <v>278</v>
      </c>
      <c r="F7" s="31" t="n">
        <v>30</v>
      </c>
      <c r="G7" s="32" t="s">
        <v>2</v>
      </c>
      <c r="H7" s="11"/>
    </row>
    <row r="8" customFormat="false" ht="27.75" hidden="false" customHeight="true" outlineLevel="0" collapsed="false">
      <c r="A8" s="12" t="n">
        <v>2</v>
      </c>
      <c r="B8" s="28" t="s">
        <v>50</v>
      </c>
      <c r="C8" s="29" t="s">
        <v>80</v>
      </c>
      <c r="D8" s="11" t="s">
        <v>277</v>
      </c>
      <c r="E8" s="30" t="s">
        <v>279</v>
      </c>
      <c r="F8" s="31" t="n">
        <v>30</v>
      </c>
      <c r="G8" s="32" t="s">
        <v>2</v>
      </c>
      <c r="H8" s="11"/>
    </row>
    <row r="9" customFormat="false" ht="15" hidden="false" customHeight="true" outlineLevel="0" collapsed="false">
      <c r="A9" s="12" t="n">
        <v>3</v>
      </c>
      <c r="B9" s="28" t="s">
        <v>50</v>
      </c>
      <c r="C9" s="29" t="s">
        <v>85</v>
      </c>
      <c r="D9" s="11" t="s">
        <v>280</v>
      </c>
      <c r="E9" s="30" t="s">
        <v>281</v>
      </c>
      <c r="F9" s="31" t="n">
        <v>30</v>
      </c>
      <c r="G9" s="32" t="s">
        <v>2</v>
      </c>
      <c r="H9" s="11"/>
    </row>
    <row r="10" customFormat="false" ht="32.25" hidden="false" customHeight="true" outlineLevel="0" collapsed="false">
      <c r="A10" s="12" t="n">
        <v>4</v>
      </c>
      <c r="B10" s="28" t="s">
        <v>50</v>
      </c>
      <c r="C10" s="29" t="s">
        <v>85</v>
      </c>
      <c r="D10" s="11" t="s">
        <v>280</v>
      </c>
      <c r="E10" s="30" t="s">
        <v>282</v>
      </c>
      <c r="F10" s="31" t="n">
        <v>90</v>
      </c>
      <c r="G10" s="32" t="s">
        <v>2</v>
      </c>
      <c r="H10" s="11"/>
    </row>
    <row r="11" customFormat="false" ht="1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280</v>
      </c>
      <c r="E11" s="30" t="s">
        <v>283</v>
      </c>
      <c r="F11" s="31" t="n">
        <v>60</v>
      </c>
      <c r="G11" s="32" t="s">
        <v>2</v>
      </c>
      <c r="H11" s="11"/>
    </row>
    <row r="12" customFormat="false" ht="27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284</v>
      </c>
      <c r="E12" s="30" t="s">
        <v>285</v>
      </c>
      <c r="F12" s="31" t="n">
        <v>60</v>
      </c>
      <c r="G12" s="32" t="s">
        <v>2</v>
      </c>
      <c r="H12" s="11"/>
    </row>
    <row r="13" customFormat="false" ht="27.75" hidden="false" customHeight="true" outlineLevel="0" collapsed="false">
      <c r="A13" s="12" t="n">
        <v>7</v>
      </c>
      <c r="B13" s="28" t="s">
        <v>50</v>
      </c>
      <c r="C13" s="29" t="s">
        <v>85</v>
      </c>
      <c r="D13" s="11" t="s">
        <v>284</v>
      </c>
      <c r="E13" s="30" t="s">
        <v>286</v>
      </c>
      <c r="F13" s="31" t="n">
        <v>30</v>
      </c>
      <c r="G13" s="32" t="s">
        <v>2</v>
      </c>
      <c r="H13" s="11" t="s">
        <v>287</v>
      </c>
    </row>
    <row r="14" customFormat="false" ht="27.75" hidden="false" customHeight="true" outlineLevel="0" collapsed="false">
      <c r="A14" s="12" t="n">
        <v>8</v>
      </c>
      <c r="B14" s="28" t="s">
        <v>50</v>
      </c>
      <c r="C14" s="29" t="s">
        <v>85</v>
      </c>
      <c r="D14" s="11" t="s">
        <v>284</v>
      </c>
      <c r="E14" s="30" t="s">
        <v>288</v>
      </c>
      <c r="F14" s="31" t="n">
        <v>30</v>
      </c>
      <c r="G14" s="32" t="s">
        <v>2</v>
      </c>
      <c r="H14" s="11" t="s">
        <v>289</v>
      </c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85</v>
      </c>
      <c r="D15" s="11" t="s">
        <v>284</v>
      </c>
      <c r="E15" s="30" t="s">
        <v>290</v>
      </c>
      <c r="F15" s="31" t="n">
        <v>30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89</v>
      </c>
      <c r="D16" s="11" t="s">
        <v>291</v>
      </c>
      <c r="E16" s="30" t="s">
        <v>292</v>
      </c>
      <c r="F16" s="31" t="n">
        <v>15</v>
      </c>
      <c r="G16" s="32" t="s">
        <v>2</v>
      </c>
      <c r="H16" s="11"/>
    </row>
    <row r="17" customFormat="false" ht="27.75" hidden="false" customHeight="true" outlineLevel="0" collapsed="false">
      <c r="A17" s="12" t="n">
        <v>11</v>
      </c>
      <c r="B17" s="28" t="s">
        <v>50</v>
      </c>
      <c r="C17" s="29" t="s">
        <v>89</v>
      </c>
      <c r="D17" s="11" t="s">
        <v>293</v>
      </c>
      <c r="E17" s="30" t="s">
        <v>294</v>
      </c>
      <c r="F17" s="31" t="n">
        <v>30</v>
      </c>
      <c r="G17" s="32" t="s">
        <v>2</v>
      </c>
      <c r="H17" s="11"/>
    </row>
    <row r="18" customFormat="false" ht="27.75" hidden="false" customHeight="true" outlineLevel="0" collapsed="false">
      <c r="A18" s="12" t="n">
        <v>12</v>
      </c>
      <c r="B18" s="28" t="s">
        <v>50</v>
      </c>
      <c r="C18" s="29" t="s">
        <v>89</v>
      </c>
      <c r="D18" s="11" t="s">
        <v>295</v>
      </c>
      <c r="E18" s="30" t="s">
        <v>296</v>
      </c>
      <c r="F18" s="31" t="n">
        <v>15</v>
      </c>
      <c r="G18" s="32" t="s">
        <v>2</v>
      </c>
      <c r="H18" s="11"/>
    </row>
    <row r="19" customFormat="false" ht="81.75" hidden="false" customHeight="true" outlineLevel="0" collapsed="false">
      <c r="A19" s="12" t="n">
        <v>13</v>
      </c>
      <c r="B19" s="28" t="s">
        <v>50</v>
      </c>
      <c r="C19" s="29" t="s">
        <v>160</v>
      </c>
      <c r="D19" s="11" t="s">
        <v>297</v>
      </c>
      <c r="E19" s="30" t="s">
        <v>298</v>
      </c>
      <c r="F19" s="31" t="n">
        <v>90</v>
      </c>
      <c r="G19" s="32" t="s">
        <v>2</v>
      </c>
      <c r="H19" s="11"/>
    </row>
    <row r="20" customFormat="false" ht="32.25" hidden="false" customHeight="true" outlineLevel="0" collapsed="false">
      <c r="A20" s="12" t="n">
        <v>14</v>
      </c>
      <c r="B20" s="11" t="s">
        <v>79</v>
      </c>
      <c r="C20" s="29" t="s">
        <v>80</v>
      </c>
      <c r="D20" s="11" t="s">
        <v>299</v>
      </c>
      <c r="E20" s="30" t="s">
        <v>300</v>
      </c>
      <c r="F20" s="31" t="n">
        <v>90</v>
      </c>
      <c r="G20" s="32" t="s">
        <v>2</v>
      </c>
      <c r="H20" s="11" t="s">
        <v>301</v>
      </c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85</v>
      </c>
      <c r="D21" s="11" t="s">
        <v>302</v>
      </c>
      <c r="E21" s="30" t="s">
        <v>303</v>
      </c>
      <c r="F21" s="31" t="n">
        <v>60</v>
      </c>
      <c r="G21" s="32" t="s">
        <v>2</v>
      </c>
      <c r="H21" s="11" t="s">
        <v>304</v>
      </c>
    </row>
    <row r="22" customFormat="false" ht="1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302</v>
      </c>
      <c r="E22" s="30" t="s">
        <v>305</v>
      </c>
      <c r="F22" s="31" t="n">
        <v>60</v>
      </c>
      <c r="G22" s="32" t="s">
        <v>2</v>
      </c>
      <c r="H22" s="11" t="s">
        <v>306</v>
      </c>
    </row>
    <row r="23" customFormat="false" ht="27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307</v>
      </c>
      <c r="E23" s="30" t="s">
        <v>308</v>
      </c>
      <c r="F23" s="31" t="n">
        <v>30</v>
      </c>
      <c r="G23" s="32" t="s">
        <v>2</v>
      </c>
      <c r="H23" s="11" t="s">
        <v>309</v>
      </c>
    </row>
    <row r="24" customFormat="false" ht="15" hidden="false" customHeight="true" outlineLevel="0" collapsed="false">
      <c r="A24" s="12" t="n">
        <v>18</v>
      </c>
      <c r="B24" s="11" t="s">
        <v>79</v>
      </c>
      <c r="C24" s="29" t="s">
        <v>129</v>
      </c>
      <c r="D24" s="11" t="s">
        <v>310</v>
      </c>
      <c r="E24" s="30" t="s">
        <v>311</v>
      </c>
      <c r="F24" s="31" t="n">
        <v>15</v>
      </c>
      <c r="G24" s="32" t="s">
        <v>2</v>
      </c>
      <c r="H24" s="11" t="s">
        <v>312</v>
      </c>
    </row>
    <row r="25" customFormat="false" ht="41.25" hidden="false" customHeight="true" outlineLevel="0" collapsed="false">
      <c r="A25" s="12" t="n">
        <v>19</v>
      </c>
      <c r="B25" s="11" t="s">
        <v>79</v>
      </c>
      <c r="C25" s="29" t="s">
        <v>313</v>
      </c>
      <c r="D25" s="11" t="s">
        <v>314</v>
      </c>
      <c r="E25" s="30" t="s">
        <v>315</v>
      </c>
      <c r="F25" s="31" t="n">
        <v>45</v>
      </c>
      <c r="G25" s="32" t="s">
        <v>2</v>
      </c>
      <c r="H25" s="11"/>
    </row>
    <row r="26" customFormat="false" ht="15" hidden="false" customHeight="true" outlineLevel="0" collapsed="false">
      <c r="E26" s="33" t="s">
        <v>94</v>
      </c>
      <c r="F26" s="34" t="n">
        <f aca="false">SUM($F$7:$F$25)</f>
        <v>840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5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false" showOutlineSymbols="true" defaultGridColor="true" view="normal" topLeftCell="C16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34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316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36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"&amp;COUNTIF($G$7:$G$24,"Terminé")&amp;"/"&amp;COUNT($A$7:$A$24)&amp;" fonctions · "&amp;TEXT(IFERROR((SUMIF($G$7:$G$24,"Terminé",$F$7:$F$24)+0.5*SUMIF($G$7:$G$24,"En cours",$F$7:$F$24))/SUM($F$7:$F$24),0),"0%")&amp;"   ·   Durée totale estimée : "&amp;TEXT(SUM($F$7:$F$24)/60,"0.0")&amp;" h"&amp;"   ·   Heures faites : "&amp;TEXT((SUMIF($G$7:$G$24,"Terminé",$F$7:$F$24)+0.5*SUMIF($G$7:$G$24,"En cours",$F$7:$F$24))/60,"0.0")&amp;" h"&amp;"   ·   Heures restantes : "&amp;TEXT((SUMIF($G$7:$G$24,"Pas fini",$F$7:$F$24)+0.5*SUMIF($G$7:$G$24,"En cours",$F$7:$F$24))/60,"0.0")&amp;" h"</f>
        <v>Avancement : 18/18 fonctions · 100%   ·   Durée totale estimée : 17,0 h   ·   Heures faites : 17,0 h   ·   Heures restantes : 0,0 h</v>
      </c>
      <c r="B4" s="25"/>
      <c r="C4" s="25"/>
      <c r="D4" s="25"/>
      <c r="E4" s="25"/>
      <c r="F4" s="25"/>
      <c r="G4" s="25"/>
      <c r="H4" s="25"/>
    </row>
    <row r="6" s="27" customFormat="true" ht="27.75" hidden="false" customHeight="true" outlineLevel="0" collapsed="false">
      <c r="A6" s="26" t="s">
        <v>42</v>
      </c>
      <c r="B6" s="26" t="s">
        <v>43</v>
      </c>
      <c r="C6" s="26" t="s">
        <v>44</v>
      </c>
      <c r="D6" s="26" t="s">
        <v>45</v>
      </c>
      <c r="E6" s="26" t="s">
        <v>46</v>
      </c>
      <c r="F6" s="26" t="s">
        <v>47</v>
      </c>
      <c r="G6" s="26" t="s">
        <v>48</v>
      </c>
      <c r="H6" s="26" t="s">
        <v>49</v>
      </c>
    </row>
    <row r="7" customFormat="false" ht="21.75" hidden="false" customHeight="true" outlineLevel="0" collapsed="false">
      <c r="A7" s="12" t="n">
        <v>1</v>
      </c>
      <c r="B7" s="28" t="s">
        <v>50</v>
      </c>
      <c r="C7" s="29" t="s">
        <v>80</v>
      </c>
      <c r="D7" s="11" t="s">
        <v>317</v>
      </c>
      <c r="E7" s="30" t="s">
        <v>318</v>
      </c>
      <c r="F7" s="31" t="n">
        <v>30</v>
      </c>
      <c r="G7" s="32" t="s">
        <v>2</v>
      </c>
      <c r="H7" s="11"/>
    </row>
    <row r="8" customFormat="false" ht="15" hidden="false" customHeight="true" outlineLevel="0" collapsed="false">
      <c r="A8" s="12" t="n">
        <v>2</v>
      </c>
      <c r="B8" s="28" t="s">
        <v>50</v>
      </c>
      <c r="C8" s="29" t="s">
        <v>85</v>
      </c>
      <c r="D8" s="11" t="s">
        <v>319</v>
      </c>
      <c r="E8" s="30" t="s">
        <v>320</v>
      </c>
      <c r="F8" s="31" t="n">
        <v>30</v>
      </c>
      <c r="G8" s="32" t="s">
        <v>2</v>
      </c>
      <c r="H8" s="11"/>
    </row>
    <row r="9" customFormat="false" ht="32.25" hidden="false" customHeight="true" outlineLevel="0" collapsed="false">
      <c r="A9" s="12" t="n">
        <v>3</v>
      </c>
      <c r="B9" s="28" t="s">
        <v>50</v>
      </c>
      <c r="C9" s="29" t="s">
        <v>85</v>
      </c>
      <c r="D9" s="11" t="s">
        <v>319</v>
      </c>
      <c r="E9" s="30" t="s">
        <v>321</v>
      </c>
      <c r="F9" s="31" t="n">
        <v>120</v>
      </c>
      <c r="G9" s="32" t="s">
        <v>2</v>
      </c>
      <c r="H9" s="11"/>
    </row>
    <row r="10" customFormat="false" ht="21.75" hidden="false" customHeight="true" outlineLevel="0" collapsed="false">
      <c r="A10" s="12" t="n">
        <v>4</v>
      </c>
      <c r="B10" s="28" t="s">
        <v>50</v>
      </c>
      <c r="C10" s="29" t="s">
        <v>85</v>
      </c>
      <c r="D10" s="11" t="s">
        <v>319</v>
      </c>
      <c r="E10" s="30" t="s">
        <v>322</v>
      </c>
      <c r="F10" s="31" t="n">
        <v>60</v>
      </c>
      <c r="G10" s="32" t="s">
        <v>2</v>
      </c>
      <c r="H10" s="11"/>
    </row>
    <row r="11" customFormat="false" ht="21.75" hidden="false" customHeight="true" outlineLevel="0" collapsed="false">
      <c r="A11" s="12" t="n">
        <v>5</v>
      </c>
      <c r="B11" s="28" t="s">
        <v>50</v>
      </c>
      <c r="C11" s="29" t="s">
        <v>85</v>
      </c>
      <c r="D11" s="11" t="s">
        <v>319</v>
      </c>
      <c r="E11" s="30" t="s">
        <v>323</v>
      </c>
      <c r="F11" s="31" t="n">
        <v>90</v>
      </c>
      <c r="G11" s="32" t="s">
        <v>2</v>
      </c>
      <c r="H11" s="11"/>
    </row>
    <row r="12" customFormat="false" ht="21.75" hidden="false" customHeight="true" outlineLevel="0" collapsed="false">
      <c r="A12" s="12" t="n">
        <v>6</v>
      </c>
      <c r="B12" s="28" t="s">
        <v>50</v>
      </c>
      <c r="C12" s="29" t="s">
        <v>85</v>
      </c>
      <c r="D12" s="11" t="s">
        <v>319</v>
      </c>
      <c r="E12" s="30" t="s">
        <v>324</v>
      </c>
      <c r="F12" s="31" t="n">
        <v>60</v>
      </c>
      <c r="G12" s="32" t="s">
        <v>2</v>
      </c>
      <c r="H12" s="11"/>
    </row>
    <row r="13" customFormat="false" ht="15" hidden="false" customHeight="true" outlineLevel="0" collapsed="false">
      <c r="A13" s="12" t="n">
        <v>7</v>
      </c>
      <c r="B13" s="28" t="s">
        <v>50</v>
      </c>
      <c r="C13" s="29" t="s">
        <v>132</v>
      </c>
      <c r="D13" s="11" t="s">
        <v>325</v>
      </c>
      <c r="E13" s="30" t="s">
        <v>326</v>
      </c>
      <c r="F13" s="31" t="n">
        <v>10</v>
      </c>
      <c r="G13" s="32" t="s">
        <v>2</v>
      </c>
      <c r="H13" s="11"/>
    </row>
    <row r="14" customFormat="false" ht="41.25" hidden="false" customHeight="true" outlineLevel="0" collapsed="false">
      <c r="A14" s="12" t="n">
        <v>8</v>
      </c>
      <c r="B14" s="28" t="s">
        <v>50</v>
      </c>
      <c r="C14" s="29" t="s">
        <v>70</v>
      </c>
      <c r="D14" s="11" t="s">
        <v>327</v>
      </c>
      <c r="E14" s="30" t="s">
        <v>328</v>
      </c>
      <c r="F14" s="31" t="n">
        <v>20</v>
      </c>
      <c r="G14" s="32" t="s">
        <v>2</v>
      </c>
      <c r="H14" s="11" t="s">
        <v>329</v>
      </c>
    </row>
    <row r="15" customFormat="false" ht="27.75" hidden="false" customHeight="true" outlineLevel="0" collapsed="false">
      <c r="A15" s="12" t="n">
        <v>9</v>
      </c>
      <c r="B15" s="28" t="s">
        <v>50</v>
      </c>
      <c r="C15" s="29" t="s">
        <v>80</v>
      </c>
      <c r="D15" s="11" t="s">
        <v>330</v>
      </c>
      <c r="E15" s="30" t="s">
        <v>331</v>
      </c>
      <c r="F15" s="31" t="n">
        <v>30</v>
      </c>
      <c r="G15" s="32" t="s">
        <v>2</v>
      </c>
      <c r="H15" s="11"/>
    </row>
    <row r="16" customFormat="false" ht="27.75" hidden="false" customHeight="true" outlineLevel="0" collapsed="false">
      <c r="A16" s="12" t="n">
        <v>10</v>
      </c>
      <c r="B16" s="28" t="s">
        <v>50</v>
      </c>
      <c r="C16" s="29" t="s">
        <v>80</v>
      </c>
      <c r="D16" s="11" t="s">
        <v>330</v>
      </c>
      <c r="E16" s="30" t="s">
        <v>332</v>
      </c>
      <c r="F16" s="31" t="n">
        <v>30</v>
      </c>
      <c r="G16" s="32" t="s">
        <v>2</v>
      </c>
      <c r="H16" s="11"/>
    </row>
    <row r="17" customFormat="false" ht="27.75" hidden="false" customHeight="true" outlineLevel="0" collapsed="false">
      <c r="A17" s="12" t="n">
        <v>11</v>
      </c>
      <c r="B17" s="28" t="s">
        <v>50</v>
      </c>
      <c r="C17" s="29" t="s">
        <v>80</v>
      </c>
      <c r="D17" s="11" t="s">
        <v>330</v>
      </c>
      <c r="E17" s="30" t="s">
        <v>333</v>
      </c>
      <c r="F17" s="31" t="n">
        <v>30</v>
      </c>
      <c r="G17" s="32" t="s">
        <v>2</v>
      </c>
      <c r="H17" s="11"/>
    </row>
    <row r="18" customFormat="false" ht="21.75" hidden="false" customHeight="true" outlineLevel="0" collapsed="false">
      <c r="A18" s="12" t="n">
        <v>12</v>
      </c>
      <c r="B18" s="28" t="s">
        <v>50</v>
      </c>
      <c r="C18" s="29" t="s">
        <v>85</v>
      </c>
      <c r="D18" s="11" t="s">
        <v>334</v>
      </c>
      <c r="E18" s="30" t="s">
        <v>335</v>
      </c>
      <c r="F18" s="31" t="n">
        <v>120</v>
      </c>
      <c r="G18" s="32" t="s">
        <v>2</v>
      </c>
      <c r="H18" s="11"/>
    </row>
    <row r="19" customFormat="false" ht="27.75" hidden="false" customHeight="true" outlineLevel="0" collapsed="false">
      <c r="A19" s="12" t="n">
        <v>13</v>
      </c>
      <c r="B19" s="28" t="s">
        <v>50</v>
      </c>
      <c r="C19" s="29" t="s">
        <v>89</v>
      </c>
      <c r="D19" s="11" t="s">
        <v>336</v>
      </c>
      <c r="E19" s="30" t="s">
        <v>337</v>
      </c>
      <c r="F19" s="31" t="n">
        <v>30</v>
      </c>
      <c r="G19" s="32" t="s">
        <v>2</v>
      </c>
      <c r="H19" s="11"/>
    </row>
    <row r="20" customFormat="false" ht="41.25" hidden="false" customHeight="true" outlineLevel="0" collapsed="false">
      <c r="A20" s="12" t="n">
        <v>14</v>
      </c>
      <c r="B20" s="28" t="s">
        <v>50</v>
      </c>
      <c r="C20" s="29" t="s">
        <v>160</v>
      </c>
      <c r="D20" s="11" t="s">
        <v>338</v>
      </c>
      <c r="E20" s="30" t="s">
        <v>339</v>
      </c>
      <c r="F20" s="31" t="n">
        <v>45</v>
      </c>
      <c r="G20" s="32" t="s">
        <v>2</v>
      </c>
      <c r="H20" s="11"/>
    </row>
    <row r="21" customFormat="false" ht="15" hidden="false" customHeight="true" outlineLevel="0" collapsed="false">
      <c r="A21" s="12" t="n">
        <v>15</v>
      </c>
      <c r="B21" s="11" t="s">
        <v>79</v>
      </c>
      <c r="C21" s="29" t="s">
        <v>80</v>
      </c>
      <c r="D21" s="11" t="s">
        <v>340</v>
      </c>
      <c r="E21" s="30" t="s">
        <v>341</v>
      </c>
      <c r="F21" s="31" t="n">
        <v>90</v>
      </c>
      <c r="G21" s="32" t="s">
        <v>2</v>
      </c>
      <c r="H21" s="11"/>
    </row>
    <row r="22" customFormat="false" ht="21.75" hidden="false" customHeight="true" outlineLevel="0" collapsed="false">
      <c r="A22" s="12" t="n">
        <v>16</v>
      </c>
      <c r="B22" s="11" t="s">
        <v>79</v>
      </c>
      <c r="C22" s="29" t="s">
        <v>85</v>
      </c>
      <c r="D22" s="11" t="s">
        <v>342</v>
      </c>
      <c r="E22" s="30" t="s">
        <v>343</v>
      </c>
      <c r="F22" s="31" t="n">
        <v>120</v>
      </c>
      <c r="G22" s="32" t="s">
        <v>2</v>
      </c>
      <c r="H22" s="11"/>
    </row>
    <row r="23" customFormat="false" ht="21.75" hidden="false" customHeight="true" outlineLevel="0" collapsed="false">
      <c r="A23" s="12" t="n">
        <v>17</v>
      </c>
      <c r="B23" s="11" t="s">
        <v>79</v>
      </c>
      <c r="C23" s="29" t="s">
        <v>89</v>
      </c>
      <c r="D23" s="11" t="s">
        <v>344</v>
      </c>
      <c r="E23" s="30" t="s">
        <v>345</v>
      </c>
      <c r="F23" s="31" t="n">
        <v>45</v>
      </c>
      <c r="G23" s="32" t="s">
        <v>2</v>
      </c>
      <c r="H23" s="11"/>
    </row>
    <row r="24" customFormat="false" ht="41.25" hidden="false" customHeight="true" outlineLevel="0" collapsed="false">
      <c r="A24" s="12" t="n">
        <v>18</v>
      </c>
      <c r="B24" s="11" t="s">
        <v>79</v>
      </c>
      <c r="C24" s="29" t="s">
        <v>160</v>
      </c>
      <c r="D24" s="11" t="s">
        <v>346</v>
      </c>
      <c r="E24" s="30" t="s">
        <v>347</v>
      </c>
      <c r="F24" s="31" t="n">
        <v>60</v>
      </c>
      <c r="G24" s="32" t="s">
        <v>2</v>
      </c>
      <c r="H24" s="11"/>
    </row>
    <row r="25" customFormat="false" ht="15" hidden="false" customHeight="true" outlineLevel="0" collapsed="false">
      <c r="E25" s="33" t="s">
        <v>94</v>
      </c>
      <c r="F25" s="34" t="n">
        <f aca="false">SUM($F$7:$F$24)</f>
        <v>1020</v>
      </c>
    </row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7:G24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D3" colorId="64" zoomScale="100" zoomScaleNormal="100" zoomScalePageLayoutView="100" workbookViewId="0">
      <selection pane="topLeft" activeCell="E24" activeCellId="0" sqref="E2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5.44"/>
    <col collapsed="false" customWidth="true" hidden="false" outlineLevel="0" max="3" min="3" style="1" width="12"/>
    <col collapsed="false" customWidth="true" hidden="false" outlineLevel="0" max="4" min="4" style="1" width="38"/>
    <col collapsed="false" customWidth="true" hidden="false" outlineLevel="0" max="5" min="5" style="1" width="52"/>
    <col collapsed="false" customWidth="true" hidden="false" outlineLevel="0" max="6" min="6" style="1" width="9"/>
    <col collapsed="false" customWidth="true" hidden="false" outlineLevel="0" max="7" min="7" style="1" width="12"/>
    <col collapsed="false" customWidth="true" hidden="false" outlineLevel="0" max="8" min="8" style="1" width="32"/>
  </cols>
  <sheetData>
    <row r="1" customFormat="false" ht="17.25" hidden="false" customHeight="true" outlineLevel="0" collapsed="false">
      <c r="A1" s="22" t="s">
        <v>37</v>
      </c>
      <c r="B1" s="22"/>
      <c r="C1" s="22"/>
      <c r="D1" s="22"/>
      <c r="E1" s="22"/>
      <c r="F1" s="22"/>
      <c r="G1" s="22"/>
      <c r="H1" s="22"/>
    </row>
    <row r="2" customFormat="false" ht="15" hidden="false" customHeight="true" outlineLevel="0" collapsed="false">
      <c r="A2" s="23" t="s">
        <v>348</v>
      </c>
      <c r="B2" s="23"/>
      <c r="C2" s="23"/>
      <c r="D2" s="23"/>
      <c r="E2" s="23"/>
      <c r="F2" s="23"/>
      <c r="G2" s="23"/>
      <c r="H2" s="23"/>
    </row>
    <row r="3" customFormat="false" ht="15" hidden="false" customHeight="true" outlineLevel="0" collapsed="false">
      <c r="A3" s="24" t="s">
        <v>39</v>
      </c>
      <c r="B3" s="24"/>
      <c r="C3" s="24"/>
      <c r="D3" s="24"/>
      <c r="E3" s="24"/>
      <c r="F3" s="24"/>
      <c r="G3" s="24"/>
      <c r="H3" s="24"/>
    </row>
    <row r="4" customFormat="false" ht="15" hidden="false" customHeight="true" outlineLevel="0" collapsed="false">
      <c r="A4" s="25" t="str">
        <f aca="false">"Avancement : "&amp;COUNTIF($G$8:$G$16,"Terminé")&amp;"/"&amp;COUNT($A$8:$A$16)&amp;" fonctions · "&amp;TEXT(IFERROR((SUMIF($G$8:$G$16,"Terminé",$F$8:$F$16)+0.5*SUMIF($G$8:$G$16,"En cours",$F$8:$F$16))/SUM($F$8:$F$16),0),"0%")&amp;"   ·   Durée totale estimée : "&amp;TEXT(SUM($F$8:$F$16)/60,"0.0")&amp;" h"&amp;"   ·   Heures faites : "&amp;TEXT((SUMIF($G$8:$G$16,"Terminé",$F$8:$F$16)+0.5*SUMIF($G$8:$G$16,"En cours",$F$8:$F$16))/60,"0.0")&amp;" h"&amp;"   ·   Heures restantes : "&amp;TEXT((SUMIF($G$8:$G$16,"Pas fini",$F$8:$F$16)+0.5*SUMIF($G$8:$G$16,"En cours",$F$8:$F$16))/60,"0.0")&amp;" h"</f>
        <v>Avancement : 9/9 fonctions · 100%   ·   Durée totale estimée : 8,3 h   ·   Heures faites : 8,3 h   ·   Heures restantes : 0,0 h</v>
      </c>
      <c r="B4" s="25"/>
      <c r="C4" s="25"/>
      <c r="D4" s="25"/>
      <c r="E4" s="25"/>
      <c r="F4" s="25"/>
      <c r="G4" s="25"/>
      <c r="H4" s="25"/>
    </row>
    <row r="7" s="35" customFormat="true" ht="29.25" hidden="false" customHeight="true" outlineLevel="0" collapsed="false">
      <c r="A7" s="26" t="s">
        <v>42</v>
      </c>
      <c r="B7" s="26" t="s">
        <v>43</v>
      </c>
      <c r="C7" s="26" t="s">
        <v>44</v>
      </c>
      <c r="D7" s="26" t="s">
        <v>45</v>
      </c>
      <c r="E7" s="26" t="s">
        <v>46</v>
      </c>
      <c r="F7" s="26" t="s">
        <v>47</v>
      </c>
      <c r="G7" s="26" t="s">
        <v>48</v>
      </c>
      <c r="H7" s="26" t="s">
        <v>49</v>
      </c>
    </row>
    <row r="8" customFormat="false" ht="15" hidden="false" customHeight="true" outlineLevel="0" collapsed="false">
      <c r="A8" s="12" t="n">
        <v>0</v>
      </c>
      <c r="B8" s="11" t="s">
        <v>349</v>
      </c>
      <c r="C8" s="29" t="s">
        <v>350</v>
      </c>
      <c r="D8" s="11"/>
      <c r="E8" s="30"/>
      <c r="F8" s="31" t="n">
        <v>200</v>
      </c>
      <c r="G8" s="32" t="s">
        <v>2</v>
      </c>
      <c r="H8" s="11"/>
    </row>
    <row r="9" customFormat="false" ht="21.75" hidden="false" customHeight="true" outlineLevel="0" collapsed="false">
      <c r="A9" s="12" t="n">
        <v>1</v>
      </c>
      <c r="B9" s="11" t="s">
        <v>79</v>
      </c>
      <c r="C9" s="29" t="s">
        <v>129</v>
      </c>
      <c r="D9" s="11" t="s">
        <v>351</v>
      </c>
      <c r="E9" s="30" t="s">
        <v>352</v>
      </c>
      <c r="F9" s="31" t="n">
        <v>15</v>
      </c>
      <c r="G9" s="32" t="s">
        <v>2</v>
      </c>
      <c r="H9" s="11"/>
    </row>
    <row r="10" customFormat="false" ht="15" hidden="false" customHeight="true" outlineLevel="0" collapsed="false">
      <c r="A10" s="12" t="n">
        <v>2</v>
      </c>
      <c r="B10" s="11" t="s">
        <v>79</v>
      </c>
      <c r="C10" s="29" t="s">
        <v>129</v>
      </c>
      <c r="D10" s="11" t="s">
        <v>353</v>
      </c>
      <c r="E10" s="30" t="s">
        <v>354</v>
      </c>
      <c r="F10" s="31" t="n">
        <v>15</v>
      </c>
      <c r="G10" s="32" t="s">
        <v>2</v>
      </c>
      <c r="H10" s="11"/>
    </row>
    <row r="11" customFormat="false" ht="15" hidden="false" customHeight="true" outlineLevel="0" collapsed="false">
      <c r="A11" s="12" t="n">
        <v>3</v>
      </c>
      <c r="B11" s="11" t="s">
        <v>79</v>
      </c>
      <c r="C11" s="29" t="s">
        <v>132</v>
      </c>
      <c r="D11" s="11" t="s">
        <v>355</v>
      </c>
      <c r="E11" s="30" t="s">
        <v>356</v>
      </c>
      <c r="F11" s="31" t="n">
        <v>10</v>
      </c>
      <c r="G11" s="32" t="s">
        <v>2</v>
      </c>
      <c r="H11" s="11"/>
    </row>
    <row r="12" customFormat="false" ht="15" hidden="false" customHeight="true" outlineLevel="0" collapsed="false">
      <c r="A12" s="12" t="n">
        <v>4</v>
      </c>
      <c r="B12" s="11" t="s">
        <v>79</v>
      </c>
      <c r="C12" s="29" t="s">
        <v>132</v>
      </c>
      <c r="D12" s="11" t="s">
        <v>357</v>
      </c>
      <c r="E12" s="30" t="s">
        <v>358</v>
      </c>
      <c r="F12" s="31" t="n">
        <v>10</v>
      </c>
      <c r="G12" s="32" t="s">
        <v>2</v>
      </c>
      <c r="H12" s="11"/>
    </row>
    <row r="13" customFormat="false" ht="27.75" hidden="false" customHeight="true" outlineLevel="0" collapsed="false">
      <c r="A13" s="12" t="n">
        <v>5</v>
      </c>
      <c r="B13" s="11" t="s">
        <v>79</v>
      </c>
      <c r="C13" s="29" t="s">
        <v>89</v>
      </c>
      <c r="D13" s="11" t="s">
        <v>359</v>
      </c>
      <c r="E13" s="30" t="s">
        <v>128</v>
      </c>
      <c r="F13" s="31" t="n">
        <v>30</v>
      </c>
      <c r="G13" s="32" t="s">
        <v>2</v>
      </c>
      <c r="H13" s="11"/>
    </row>
    <row r="14" customFormat="false" ht="21.75" hidden="false" customHeight="true" outlineLevel="0" collapsed="false">
      <c r="A14" s="12" t="n">
        <v>6</v>
      </c>
      <c r="B14" s="11" t="s">
        <v>79</v>
      </c>
      <c r="C14" s="29" t="s">
        <v>85</v>
      </c>
      <c r="D14" s="11" t="s">
        <v>360</v>
      </c>
      <c r="E14" s="30" t="s">
        <v>361</v>
      </c>
      <c r="F14" s="31" t="n">
        <v>150</v>
      </c>
      <c r="G14" s="32" t="s">
        <v>2</v>
      </c>
      <c r="H14" s="11"/>
    </row>
    <row r="15" customFormat="false" ht="21.75" hidden="false" customHeight="true" outlineLevel="0" collapsed="false">
      <c r="A15" s="12" t="n">
        <v>7</v>
      </c>
      <c r="B15" s="11" t="s">
        <v>79</v>
      </c>
      <c r="C15" s="29" t="s">
        <v>62</v>
      </c>
      <c r="D15" s="11" t="s">
        <v>65</v>
      </c>
      <c r="E15" s="30" t="s">
        <v>362</v>
      </c>
      <c r="F15" s="31" t="n">
        <v>25</v>
      </c>
      <c r="G15" s="32" t="s">
        <v>2</v>
      </c>
      <c r="H15" s="11"/>
    </row>
    <row r="16" customFormat="false" ht="21.75" hidden="false" customHeight="true" outlineLevel="0" collapsed="false">
      <c r="A16" s="12" t="n">
        <v>8</v>
      </c>
      <c r="B16" s="11" t="s">
        <v>363</v>
      </c>
      <c r="C16" s="29" t="s">
        <v>364</v>
      </c>
      <c r="D16" s="11" t="s">
        <v>365</v>
      </c>
      <c r="E16" s="30" t="s">
        <v>366</v>
      </c>
      <c r="F16" s="31" t="n">
        <v>40</v>
      </c>
      <c r="G16" s="32" t="s">
        <v>2</v>
      </c>
      <c r="H16" s="11"/>
    </row>
    <row r="17" customFormat="false" ht="15" hidden="false" customHeight="true" outlineLevel="0" collapsed="false">
      <c r="E17" s="33" t="s">
        <v>94</v>
      </c>
      <c r="F17" s="34" t="n">
        <f aca="false">SUM($F$8:$F$16)</f>
        <v>495</v>
      </c>
    </row>
    <row r="1048576" customFormat="false" ht="12.75" hidden="false" customHeight="true" outlineLevel="0" collapsed="false"/>
  </sheetData>
  <mergeCells count="4">
    <mergeCell ref="A1:H1"/>
    <mergeCell ref="A2:H2"/>
    <mergeCell ref="A3:H3"/>
    <mergeCell ref="A4:H4"/>
  </mergeCells>
  <dataValidations count="1">
    <dataValidation allowBlank="false" errorStyle="stop" operator="between" showDropDown="false" showErrorMessage="false" showInputMessage="false" sqref="G8:G16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3" min="3" style="1" width="52"/>
    <col collapsed="false" customWidth="true" hidden="false" outlineLevel="0" max="4" min="4" style="1" width="30"/>
    <col collapsed="false" customWidth="true" hidden="false" outlineLevel="0" max="5" min="5" style="1" width="10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36" t="s">
        <v>367</v>
      </c>
      <c r="B1" s="36"/>
      <c r="C1" s="36"/>
      <c r="D1" s="36"/>
      <c r="E1" s="36"/>
      <c r="F1" s="36"/>
    </row>
    <row r="2" customFormat="false" ht="15" hidden="false" customHeight="true" outlineLevel="0" collapsed="false">
      <c r="A2" s="3"/>
      <c r="B2" s="3"/>
      <c r="C2" s="3"/>
      <c r="D2" s="3"/>
      <c r="E2" s="3"/>
      <c r="F2" s="3"/>
    </row>
    <row r="3" customFormat="false" ht="15" hidden="false" customHeight="true" outlineLevel="0" collapsed="false">
      <c r="A3" s="25" t="str">
        <f aca="false">"Durée totale estimée : "&amp;TEXT(SUM($G$5:$G$18)/60,"0.0")&amp;" h"&amp;"   ·   Heures faites : "&amp;TEXT((SUMIF($E$5:$E$18,"Terminé",$G$5:$G$18)+0.5*SUMIF($E$5:$E$18,"En cours",$G$5:$G$18))/60,"0.0")&amp;" h"&amp;"   ·   Heures restantes : "&amp;TEXT((SUMIF($E$5:$E$18,"Pas fini",$G$5:$G$18)+0.5*SUMIF($E$5:$E$18,"En cours",$G$5:$G$18))/60,"0.0")&amp;" h"</f>
        <v>Durée totale estimée : 13,0 h   ·   Heures faites : 2,5 h   ·   Heures restantes : 10,5 h</v>
      </c>
      <c r="B3" s="25"/>
      <c r="C3" s="25"/>
      <c r="D3" s="25"/>
      <c r="E3" s="25"/>
      <c r="F3" s="25"/>
      <c r="G3" s="25"/>
      <c r="H3" s="25"/>
    </row>
    <row r="4" customFormat="false" ht="15" hidden="false" customHeight="true" outlineLevel="0" collapsed="false">
      <c r="A4" s="26" t="s">
        <v>42</v>
      </c>
      <c r="B4" s="26" t="s">
        <v>368</v>
      </c>
      <c r="C4" s="26" t="s">
        <v>369</v>
      </c>
      <c r="D4" s="26" t="s">
        <v>370</v>
      </c>
      <c r="E4" s="26" t="s">
        <v>48</v>
      </c>
      <c r="F4" s="26" t="s">
        <v>49</v>
      </c>
      <c r="G4" s="26" t="s">
        <v>47</v>
      </c>
    </row>
    <row r="5" customFormat="false" ht="15" hidden="false" customHeight="true" outlineLevel="0" collapsed="false">
      <c r="A5" s="12" t="n">
        <v>1</v>
      </c>
      <c r="B5" s="11" t="s">
        <v>371</v>
      </c>
      <c r="C5" s="11" t="s">
        <v>372</v>
      </c>
      <c r="D5" s="11" t="s">
        <v>226</v>
      </c>
      <c r="E5" s="37" t="s">
        <v>4</v>
      </c>
      <c r="F5" s="11" t="s">
        <v>373</v>
      </c>
      <c r="G5" s="31" t="n">
        <v>120</v>
      </c>
    </row>
    <row r="6" customFormat="false" ht="27.75" hidden="false" customHeight="true" outlineLevel="0" collapsed="false">
      <c r="A6" s="12" t="n">
        <v>2</v>
      </c>
      <c r="B6" s="11" t="s">
        <v>371</v>
      </c>
      <c r="C6" s="11" t="s">
        <v>374</v>
      </c>
      <c r="D6" s="11" t="s">
        <v>264</v>
      </c>
      <c r="E6" s="37" t="s">
        <v>4</v>
      </c>
      <c r="F6" s="11" t="s">
        <v>373</v>
      </c>
      <c r="G6" s="31" t="n">
        <v>120</v>
      </c>
    </row>
    <row r="7" customFormat="false" ht="27.75" hidden="false" customHeight="true" outlineLevel="0" collapsed="false">
      <c r="A7" s="12" t="n">
        <v>3</v>
      </c>
      <c r="B7" s="11" t="s">
        <v>375</v>
      </c>
      <c r="C7" s="11" t="s">
        <v>376</v>
      </c>
      <c r="D7" s="11" t="s">
        <v>226</v>
      </c>
      <c r="E7" s="37" t="s">
        <v>4</v>
      </c>
      <c r="F7" s="11" t="s">
        <v>373</v>
      </c>
      <c r="G7" s="31" t="n">
        <v>120</v>
      </c>
    </row>
    <row r="8" customFormat="false" ht="15" hidden="false" customHeight="true" outlineLevel="0" collapsed="false">
      <c r="A8" s="12" t="n">
        <v>4</v>
      </c>
      <c r="B8" s="11" t="s">
        <v>375</v>
      </c>
      <c r="C8" s="11" t="s">
        <v>377</v>
      </c>
      <c r="D8" s="11" t="s">
        <v>378</v>
      </c>
      <c r="E8" s="32" t="s">
        <v>2</v>
      </c>
      <c r="F8" s="11"/>
      <c r="G8" s="31" t="n">
        <v>30</v>
      </c>
    </row>
    <row r="9" customFormat="false" ht="15" hidden="false" customHeight="true" outlineLevel="0" collapsed="false">
      <c r="A9" s="12" t="n">
        <v>5</v>
      </c>
      <c r="B9" s="11" t="s">
        <v>379</v>
      </c>
      <c r="C9" s="11" t="s">
        <v>380</v>
      </c>
      <c r="D9" s="11" t="s">
        <v>381</v>
      </c>
      <c r="E9" s="37" t="s">
        <v>4</v>
      </c>
      <c r="F9" s="11"/>
      <c r="G9" s="31" t="n">
        <v>30</v>
      </c>
    </row>
    <row r="10" customFormat="false" ht="15" hidden="false" customHeight="true" outlineLevel="0" collapsed="false">
      <c r="A10" s="12" t="n">
        <v>6</v>
      </c>
      <c r="B10" s="11" t="s">
        <v>379</v>
      </c>
      <c r="C10" s="11" t="s">
        <v>382</v>
      </c>
      <c r="D10" s="11" t="s">
        <v>383</v>
      </c>
      <c r="E10" s="37" t="s">
        <v>4</v>
      </c>
      <c r="F10" s="11"/>
      <c r="G10" s="31" t="n">
        <v>30</v>
      </c>
    </row>
    <row r="11" customFormat="false" ht="15" hidden="false" customHeight="true" outlineLevel="0" collapsed="false">
      <c r="A11" s="12" t="n">
        <v>7</v>
      </c>
      <c r="B11" s="11" t="s">
        <v>379</v>
      </c>
      <c r="C11" s="11" t="s">
        <v>384</v>
      </c>
      <c r="D11" s="11" t="s">
        <v>383</v>
      </c>
      <c r="E11" s="37" t="s">
        <v>4</v>
      </c>
      <c r="F11" s="11"/>
      <c r="G11" s="31" t="n">
        <v>30</v>
      </c>
    </row>
    <row r="12" customFormat="false" ht="15" hidden="false" customHeight="true" outlineLevel="0" collapsed="false">
      <c r="A12" s="12" t="n">
        <v>8</v>
      </c>
      <c r="B12" s="11" t="s">
        <v>385</v>
      </c>
      <c r="C12" s="11" t="s">
        <v>386</v>
      </c>
      <c r="D12" s="11" t="s">
        <v>383</v>
      </c>
      <c r="E12" s="32" t="s">
        <v>2</v>
      </c>
      <c r="F12" s="11"/>
      <c r="G12" s="31" t="n">
        <v>30</v>
      </c>
    </row>
    <row r="13" customFormat="false" ht="15" hidden="false" customHeight="true" outlineLevel="0" collapsed="false">
      <c r="A13" s="12" t="n">
        <v>9</v>
      </c>
      <c r="B13" s="11" t="s">
        <v>385</v>
      </c>
      <c r="C13" s="11" t="s">
        <v>387</v>
      </c>
      <c r="D13" s="11" t="s">
        <v>383</v>
      </c>
      <c r="E13" s="37" t="s">
        <v>4</v>
      </c>
      <c r="F13" s="11"/>
      <c r="G13" s="31" t="n">
        <v>30</v>
      </c>
    </row>
    <row r="14" customFormat="false" ht="27.75" hidden="false" customHeight="true" outlineLevel="0" collapsed="false">
      <c r="A14" s="12" t="n">
        <v>10</v>
      </c>
      <c r="B14" s="11" t="s">
        <v>388</v>
      </c>
      <c r="C14" s="11" t="s">
        <v>389</v>
      </c>
      <c r="D14" s="11" t="s">
        <v>327</v>
      </c>
      <c r="E14" s="32" t="s">
        <v>2</v>
      </c>
      <c r="F14" s="11" t="s">
        <v>390</v>
      </c>
      <c r="G14" s="31" t="n">
        <v>30</v>
      </c>
    </row>
    <row r="15" customFormat="false" ht="15" hidden="false" customHeight="true" outlineLevel="0" collapsed="false">
      <c r="A15" s="12" t="n">
        <v>11</v>
      </c>
      <c r="B15" s="11" t="s">
        <v>391</v>
      </c>
      <c r="C15" s="11" t="s">
        <v>392</v>
      </c>
      <c r="D15" s="11" t="s">
        <v>393</v>
      </c>
      <c r="E15" s="37" t="s">
        <v>4</v>
      </c>
      <c r="F15" s="11" t="s">
        <v>394</v>
      </c>
      <c r="G15" s="31" t="n">
        <v>30</v>
      </c>
    </row>
    <row r="16" customFormat="false" ht="15" hidden="false" customHeight="true" outlineLevel="0" collapsed="false">
      <c r="A16" s="12" t="n">
        <v>12</v>
      </c>
      <c r="B16" s="11" t="s">
        <v>391</v>
      </c>
      <c r="C16" s="11" t="s">
        <v>395</v>
      </c>
      <c r="D16" s="11" t="s">
        <v>396</v>
      </c>
      <c r="E16" s="37" t="s">
        <v>4</v>
      </c>
      <c r="F16" s="11" t="s">
        <v>397</v>
      </c>
      <c r="G16" s="31" t="n">
        <v>30</v>
      </c>
    </row>
    <row r="17" customFormat="false" ht="15" hidden="false" customHeight="true" outlineLevel="0" collapsed="false">
      <c r="A17" s="12" t="n">
        <v>13</v>
      </c>
      <c r="B17" s="11" t="s">
        <v>391</v>
      </c>
      <c r="C17" s="11" t="s">
        <v>398</v>
      </c>
      <c r="D17" s="11" t="s">
        <v>399</v>
      </c>
      <c r="E17" s="37" t="s">
        <v>4</v>
      </c>
      <c r="F17" s="11" t="s">
        <v>400</v>
      </c>
      <c r="G17" s="31" t="n">
        <v>30</v>
      </c>
    </row>
    <row r="18" customFormat="false" ht="27.75" hidden="false" customHeight="true" outlineLevel="0" collapsed="false">
      <c r="A18" s="12" t="n">
        <v>14</v>
      </c>
      <c r="B18" s="11" t="s">
        <v>401</v>
      </c>
      <c r="C18" s="11" t="s">
        <v>402</v>
      </c>
      <c r="D18" s="11" t="s">
        <v>403</v>
      </c>
      <c r="E18" s="38" t="s">
        <v>3</v>
      </c>
      <c r="F18" s="11" t="s">
        <v>404</v>
      </c>
      <c r="G18" s="31" t="n">
        <v>120</v>
      </c>
    </row>
    <row r="19" customFormat="false" ht="15" hidden="false" customHeight="true" outlineLevel="0" collapsed="false">
      <c r="F19" s="33" t="s">
        <v>94</v>
      </c>
      <c r="G19" s="39" t="n">
        <f aca="false">SUM($G$5:$G$18)</f>
        <v>780</v>
      </c>
    </row>
    <row r="1048569" customFormat="false" ht="12.75" hidden="false" customHeight="true" outlineLevel="0" collapsed="false"/>
    <row r="1048570" customFormat="false" ht="12.75" hidden="false" customHeight="true" outlineLevel="0" collapsed="false"/>
    <row r="1048571" customFormat="false" ht="12.75" hidden="false" customHeight="true" outlineLevel="0" collapsed="false"/>
    <row r="1048572" customFormat="false" ht="12.75" hidden="false" customHeight="true" outlineLevel="0" collapsed="false"/>
    <row r="1048573" customFormat="false" ht="12.75" hidden="false" customHeight="true" outlineLevel="0" collapsed="false"/>
    <row r="1048574" customFormat="false" ht="12.75" hidden="false" customHeight="true" outlineLevel="0" collapsed="false"/>
    <row r="1048575" customFormat="false" ht="12.75" hidden="false" customHeight="true" outlineLevel="0" collapsed="false"/>
    <row r="1048576" customFormat="false" ht="12.75" hidden="false" customHeight="true" outlineLevel="0" collapsed="false"/>
  </sheetData>
  <mergeCells count="3">
    <mergeCell ref="A1:F1"/>
    <mergeCell ref="A2:F2"/>
    <mergeCell ref="A3:H3"/>
  </mergeCells>
  <dataValidations count="1">
    <dataValidation allowBlank="false" errorStyle="stop" operator="between" showDropDown="false" showErrorMessage="false" showInputMessage="false" sqref="E5:E18" type="list">
      <formula1>"Terminé,En cours,Pas fini"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G11"/>
  <sheetViews>
    <sheetView showFormulas="false" showGridLines="true" showRowColHeaders="true" showZeros="true" rightToLeft="false" tabSelected="false" showOutlineSymbols="true" defaultGridColor="true" view="normal" topLeftCell="A1" colorId="64" zoomScale="89" zoomScaleNormal="89" zoomScalePageLayoutView="100" workbookViewId="0">
      <selection pane="topLeft" activeCell="D14" activeCellId="0" sqref="D14"/>
    </sheetView>
  </sheetViews>
  <sheetFormatPr defaultColWidth="11.53515625" defaultRowHeight="12.75" zeroHeight="false" outlineLevelRow="0" outlineLevelCol="0"/>
  <cols>
    <col collapsed="false" customWidth="true" hidden="false" outlineLevel="0" max="4" min="4" style="40" width="30.16"/>
    <col collapsed="false" customWidth="true" hidden="false" outlineLevel="0" max="5" min="5" style="40" width="32.82"/>
    <col collapsed="false" customWidth="true" hidden="false" outlineLevel="0" max="6" min="6" style="40" width="22.19"/>
    <col collapsed="false" customWidth="true" hidden="false" outlineLevel="0" max="7" min="7" style="40" width="23.29"/>
  </cols>
  <sheetData>
    <row r="2" customFormat="false" ht="12.75" hidden="false" customHeight="true" outlineLevel="0" collapsed="false">
      <c r="C2" s="40" t="s">
        <v>405</v>
      </c>
      <c r="D2" s="40" t="s">
        <v>406</v>
      </c>
      <c r="E2" s="40" t="s">
        <v>407</v>
      </c>
      <c r="F2" s="40" t="s">
        <v>408</v>
      </c>
      <c r="G2" s="40" t="s">
        <v>409</v>
      </c>
    </row>
    <row r="3" customFormat="false" ht="12.75" hidden="false" customHeight="true" outlineLevel="0" collapsed="false">
      <c r="C3" s="40" t="s">
        <v>410</v>
      </c>
      <c r="D3" s="41" t="n">
        <v>2</v>
      </c>
      <c r="E3" s="42" t="s">
        <v>411</v>
      </c>
      <c r="F3" s="41" t="s">
        <v>412</v>
      </c>
      <c r="G3" s="41" t="n">
        <v>1</v>
      </c>
    </row>
    <row r="4" customFormat="false" ht="12.75" hidden="false" customHeight="true" outlineLevel="0" collapsed="false">
      <c r="C4" s="40" t="s">
        <v>413</v>
      </c>
      <c r="D4" s="41" t="s">
        <v>414</v>
      </c>
      <c r="E4" s="41" t="n">
        <v>0</v>
      </c>
      <c r="F4" s="41" t="s">
        <v>415</v>
      </c>
      <c r="G4" s="41" t="n">
        <v>-3</v>
      </c>
    </row>
    <row r="5" customFormat="false" ht="12.75" hidden="false" customHeight="true" outlineLevel="0" collapsed="false">
      <c r="C5" s="40" t="s">
        <v>416</v>
      </c>
      <c r="D5" s="41" t="n">
        <v>0</v>
      </c>
      <c r="E5" s="41" t="n">
        <v>0</v>
      </c>
      <c r="F5" s="41" t="s">
        <v>417</v>
      </c>
      <c r="G5" s="41" t="n">
        <v>1</v>
      </c>
    </row>
    <row r="6" customFormat="false" ht="12.75" hidden="false" customHeight="true" outlineLevel="0" collapsed="false">
      <c r="C6" s="40" t="s">
        <v>418</v>
      </c>
      <c r="D6" s="41" t="n">
        <v>0</v>
      </c>
      <c r="E6" s="41" t="n">
        <v>0</v>
      </c>
      <c r="F6" s="41" t="s">
        <v>417</v>
      </c>
      <c r="G6" s="41" t="n">
        <v>1</v>
      </c>
    </row>
    <row r="7" customFormat="false" ht="12.75" hidden="false" customHeight="true" outlineLevel="0" collapsed="false">
      <c r="C7" s="40" t="s">
        <v>419</v>
      </c>
      <c r="D7" s="41" t="n">
        <v>2</v>
      </c>
      <c r="E7" s="42" t="n">
        <v>46193</v>
      </c>
      <c r="F7" s="41" t="s">
        <v>417</v>
      </c>
      <c r="G7" s="41" t="n">
        <v>1</v>
      </c>
    </row>
    <row r="8" customFormat="false" ht="12.75" hidden="false" customHeight="true" outlineLevel="0" collapsed="false">
      <c r="C8" s="40" t="s">
        <v>420</v>
      </c>
      <c r="D8" s="41" t="n">
        <v>1</v>
      </c>
      <c r="E8" s="42" t="n">
        <v>46186</v>
      </c>
      <c r="F8" s="41" t="s">
        <v>421</v>
      </c>
      <c r="G8" s="41" t="n">
        <v>1</v>
      </c>
    </row>
    <row r="9" customFormat="false" ht="12.75" hidden="false" customHeight="true" outlineLevel="0" collapsed="false">
      <c r="C9" s="40" t="s">
        <v>422</v>
      </c>
      <c r="D9" s="41" t="n">
        <v>1</v>
      </c>
      <c r="E9" s="42" t="n">
        <v>46207</v>
      </c>
      <c r="F9" s="41" t="s">
        <v>417</v>
      </c>
      <c r="G9" s="41" t="n">
        <v>1</v>
      </c>
    </row>
    <row r="10" customFormat="false" ht="12.75" hidden="false" customHeight="true" outlineLevel="0" collapsed="false">
      <c r="C10" s="40" t="s">
        <v>423</v>
      </c>
      <c r="D10" s="41" t="n">
        <v>0</v>
      </c>
      <c r="E10" s="41" t="n">
        <v>0</v>
      </c>
      <c r="F10" s="41" t="s">
        <v>417</v>
      </c>
      <c r="G10" s="41" t="n">
        <v>1</v>
      </c>
    </row>
    <row r="11" customFormat="false" ht="12.75" hidden="false" customHeight="true" outlineLevel="0" collapsed="false">
      <c r="C11" s="40" t="s">
        <v>424</v>
      </c>
      <c r="D11" s="41" t="s">
        <v>414</v>
      </c>
      <c r="E11" s="41" t="n">
        <v>0</v>
      </c>
      <c r="F11" s="41" t="s">
        <v>415</v>
      </c>
      <c r="G11" s="41" t="n">
        <v>-3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11.53515625" defaultRowHeight="12.75" zeroHeight="false" outlineLevelRow="0" outlineLevelCol="0"/>
  <cols>
    <col collapsed="false" customWidth="true" hidden="false" outlineLevel="0" max="3" min="3" style="40" width="15.72"/>
    <col collapsed="false" customWidth="true" hidden="false" outlineLevel="0" max="4" min="4" style="40" width="17.52"/>
    <col collapsed="false" customWidth="true" hidden="false" outlineLevel="0" max="5" min="5" style="40" width="14.19"/>
  </cols>
  <sheetData>
    <row r="1" customFormat="false" ht="12.75" hidden="false" customHeight="true" outlineLevel="0" collapsed="false">
      <c r="A1" s="40" t="s">
        <v>425</v>
      </c>
      <c r="B1" s="40" t="s">
        <v>426</v>
      </c>
      <c r="C1" s="40" t="s">
        <v>427</v>
      </c>
      <c r="D1" s="40" t="s">
        <v>428</v>
      </c>
      <c r="E1" s="40" t="s">
        <v>429</v>
      </c>
      <c r="F1" s="40" t="s">
        <v>430</v>
      </c>
    </row>
    <row r="2" customFormat="false" ht="12.75" hidden="false" customHeight="true" outlineLevel="0" collapsed="false">
      <c r="A2" s="40" t="s">
        <v>431</v>
      </c>
      <c r="B2" s="40" t="s">
        <v>432</v>
      </c>
      <c r="C2" s="40" t="n">
        <v>440</v>
      </c>
      <c r="D2" s="40" t="n">
        <v>7.33</v>
      </c>
      <c r="E2" s="40" t="n">
        <v>20000</v>
      </c>
      <c r="F2" s="43" t="n">
        <f aca="false">(C2/60)*E2</f>
        <v>146666.666666667</v>
      </c>
    </row>
    <row r="3" customFormat="false" ht="12.75" hidden="false" customHeight="true" outlineLevel="0" collapsed="false">
      <c r="A3" s="40" t="s">
        <v>420</v>
      </c>
      <c r="B3" s="40" t="s">
        <v>432</v>
      </c>
      <c r="C3" s="40" t="n">
        <v>995</v>
      </c>
      <c r="D3" s="40" t="n">
        <v>16.33</v>
      </c>
      <c r="E3" s="40" t="n">
        <v>20000</v>
      </c>
      <c r="F3" s="43" t="n">
        <f aca="false">(C3/60)*E3</f>
        <v>331666.666666667</v>
      </c>
    </row>
    <row r="4" customFormat="false" ht="12.75" hidden="false" customHeight="true" outlineLevel="0" collapsed="false">
      <c r="A4" s="40" t="s">
        <v>433</v>
      </c>
      <c r="B4" s="40" t="s">
        <v>432</v>
      </c>
      <c r="C4" s="40" t="n">
        <v>1400</v>
      </c>
      <c r="D4" s="40" t="n">
        <v>23.33</v>
      </c>
      <c r="E4" s="40" t="n">
        <v>20000</v>
      </c>
      <c r="F4" s="43" t="n">
        <f aca="false">(C4/60)*E4</f>
        <v>466666.666666667</v>
      </c>
    </row>
    <row r="5" customFormat="false" ht="12.75" hidden="false" customHeight="true" outlineLevel="0" collapsed="false">
      <c r="A5" s="40" t="s">
        <v>434</v>
      </c>
      <c r="B5" s="40" t="s">
        <v>432</v>
      </c>
      <c r="C5" s="40" t="n">
        <v>750</v>
      </c>
      <c r="D5" s="40" t="n">
        <v>12.5</v>
      </c>
      <c r="E5" s="40" t="n">
        <v>20000</v>
      </c>
      <c r="F5" s="43" t="n">
        <f aca="false">(C5/60)*E5</f>
        <v>250000</v>
      </c>
    </row>
    <row r="6" customFormat="false" ht="12.75" hidden="false" customHeight="true" outlineLevel="0" collapsed="false">
      <c r="A6" s="40" t="s">
        <v>435</v>
      </c>
      <c r="B6" s="40" t="s">
        <v>432</v>
      </c>
      <c r="C6" s="40" t="n">
        <v>990</v>
      </c>
      <c r="D6" s="40" t="n">
        <v>16.5</v>
      </c>
      <c r="E6" s="40" t="n">
        <v>20000</v>
      </c>
      <c r="F6" s="43" t="n">
        <f aca="false">(C6/60)*E6</f>
        <v>330000</v>
      </c>
    </row>
    <row r="7" customFormat="false" ht="12.75" hidden="false" customHeight="true" outlineLevel="0" collapsed="false">
      <c r="A7" s="40" t="s">
        <v>436</v>
      </c>
      <c r="B7" s="40" t="s">
        <v>437</v>
      </c>
      <c r="C7" s="40" t="n">
        <v>760</v>
      </c>
      <c r="D7" s="40" t="n">
        <v>12.67</v>
      </c>
      <c r="E7" s="40" t="n">
        <v>25000</v>
      </c>
      <c r="F7" s="43" t="n">
        <f aca="false">(C7/60)*E7</f>
        <v>316666.666666667</v>
      </c>
    </row>
    <row r="8" customFormat="false" ht="12.75" hidden="false" customHeight="true" outlineLevel="0" collapsed="false">
      <c r="A8" s="40" t="s">
        <v>423</v>
      </c>
      <c r="B8" s="40" t="s">
        <v>432</v>
      </c>
      <c r="C8" s="40" t="n">
        <v>840</v>
      </c>
      <c r="D8" s="40" t="n">
        <v>14</v>
      </c>
      <c r="E8" s="40" t="n">
        <v>20000</v>
      </c>
      <c r="F8" s="43" t="n">
        <f aca="false">(C8/60)*E8</f>
        <v>280000</v>
      </c>
    </row>
    <row r="9" customFormat="false" ht="12.75" hidden="false" customHeight="true" outlineLevel="0" collapsed="false">
      <c r="A9" s="40" t="s">
        <v>438</v>
      </c>
      <c r="B9" s="40" t="s">
        <v>432</v>
      </c>
      <c r="C9" s="40" t="n">
        <v>1020</v>
      </c>
      <c r="D9" s="40" t="n">
        <v>17</v>
      </c>
      <c r="E9" s="40" t="n">
        <v>20000</v>
      </c>
      <c r="F9" s="43" t="n">
        <f aca="false">(C9/60)*E9</f>
        <v>340000</v>
      </c>
    </row>
    <row r="10" customFormat="false" ht="12.75" hidden="false" customHeight="true" outlineLevel="0" collapsed="false">
      <c r="F10" s="43" t="n">
        <f aca="false">SUM(F2:F9)</f>
        <v>2461666.66666667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2026-07-07T06:55:38Z</dcterms:created>
  <dc:creator>openpyxl</dc:creator>
  <dc:description/>
  <dc:language>fr-FR</dc:language>
  <cp:lastModifiedBy/>
  <dcterms:modified xsi:type="dcterms:W3CDTF">2026-07-07T12:54:02Z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